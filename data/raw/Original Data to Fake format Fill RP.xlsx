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MR\Backup\UN\UN Consultancies\UNOPS\Working Documents\"/>
    </mc:Choice>
  </mc:AlternateContent>
  <xr:revisionPtr revIDLastSave="0" documentId="13_ncr:1_{4464B331-3F52-4914-BA75-15857C36A9E5}" xr6:coauthVersionLast="47" xr6:coauthVersionMax="47" xr10:uidLastSave="{00000000-0000-0000-0000-000000000000}"/>
  <bookViews>
    <workbookView xWindow="-108" yWindow="-108" windowWidth="23256" windowHeight="13176" xr2:uid="{FFBCD67B-FDA9-4D21-8AC9-76BD28CDBC7B}"/>
  </bookViews>
  <sheets>
    <sheet name="fake_data_ener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R15" i="1" l="1"/>
  <c r="AFJ13" i="1"/>
  <c r="AFJ12" i="1"/>
  <c r="AFJ11" i="1"/>
  <c r="AFK14" i="1"/>
  <c r="QW47" i="1" l="1"/>
  <c r="QX47" i="1"/>
  <c r="QY47" i="1"/>
  <c r="QZ47" i="1"/>
  <c r="RA47" i="1"/>
  <c r="RB47" i="1"/>
  <c r="RC47" i="1"/>
  <c r="RD47" i="1"/>
  <c r="QV47" i="1"/>
  <c r="RE46" i="1"/>
</calcChain>
</file>

<file path=xl/sharedStrings.xml><?xml version="1.0" encoding="utf-8"?>
<sst xmlns="http://schemas.openxmlformats.org/spreadsheetml/2006/main" count="1316" uniqueCount="1316">
  <si>
    <t>time_period</t>
  </si>
  <si>
    <t>area_gnrl_country_ha</t>
  </si>
  <si>
    <t>avgload_trns_freight_tonne_per_vehicle_aviation</t>
  </si>
  <si>
    <t>avgload_trns_freight_tonne_per_vehicle_rail_freight</t>
  </si>
  <si>
    <t>avgload_trns_freight_tonne_per_vehicle_road_heavy_freight</t>
  </si>
  <si>
    <t>avgload_trns_freight_tonne_per_vehicle_water_borne</t>
  </si>
  <si>
    <t>climate_change_factor_gnrl_hydropower_availability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</si>
  <si>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</si>
  <si>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</si>
  <si>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</si>
  <si>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</si>
  <si>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</si>
  <si>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</si>
  <si>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</si>
  <si>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</si>
  <si>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</si>
  <si>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</si>
  <si>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</si>
  <si>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</si>
  <si>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</si>
  <si>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</si>
  <si>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</si>
  <si>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</si>
  <si>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</si>
  <si>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</si>
  <si>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</si>
  <si>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consumpinit_inen_energy_tj_per_tonne_production_wood</t>
  </si>
  <si>
    <t>consumpinit_inen_energy_total_pj_agriculture_and_livestock</t>
  </si>
  <si>
    <t>consumpinit_scoe_gj_per_hh_residential_elec_appliances</t>
  </si>
  <si>
    <t>consumpinit_scoe_gj_per_hh_residential_heat_energy</t>
  </si>
  <si>
    <t>consumpinit_scoe_tj_per_mmmgdp_commercial_municipal_elec_appliances</t>
  </si>
  <si>
    <t>consumpinit_scoe_tj_per_mmmgdp_commercial_municipal_heat_energy</t>
  </si>
  <si>
    <t>consumpinit_scoe_tj_per_mmmgdp_other_se_elec_appliances</t>
  </si>
  <si>
    <t>consumpinit_scoe_tj_per_mmmgdp_other_se_heat_energy</t>
  </si>
  <si>
    <t>cost_enfu_fuel_biofuels_usd_per_m3</t>
  </si>
  <si>
    <t>cost_enfu_fuel_biogas_usd_per_mmbtu</t>
  </si>
  <si>
    <t>cost_enfu_fuel_biomass_usd_per_m3</t>
  </si>
  <si>
    <t>cost_enfu_fuel_biomass_usd_per_tonne</t>
  </si>
  <si>
    <t>cost_enfu_fuel_coal_usd_per_m3</t>
  </si>
  <si>
    <t>cost_enfu_fuel_coal_usd_per_tonne</t>
  </si>
  <si>
    <t>cost_enfu_fuel_coke_usd_per_tonne</t>
  </si>
  <si>
    <t>cost_enfu_fuel_crude_usd_per_m3</t>
  </si>
  <si>
    <t>cost_enfu_fuel_diesel_usd_per_m3</t>
  </si>
  <si>
    <t>cost_enfu_fuel_electricity_usd_per_mmbtu</t>
  </si>
  <si>
    <t>cost_enfu_fuel_furnace_gas_usd_per_m3</t>
  </si>
  <si>
    <t>cost_enfu_fuel_gasoline_usd_per_m3</t>
  </si>
  <si>
    <t>cost_enfu_fuel_hydrocarbon_gas_liquids_usd_per_mmbtu</t>
  </si>
  <si>
    <t>cost_enfu_fuel_hydrocarbon_gas_liquids_usd_per_tonne</t>
  </si>
  <si>
    <t>cost_enfu_fuel_hydrogen_usd_per_mmbtu</t>
  </si>
  <si>
    <t>cost_enfu_fuel_hydrogen_usd_per_tonne</t>
  </si>
  <si>
    <t>cost_enfu_fuel_kerosene_usd_per_m3</t>
  </si>
  <si>
    <t>cost_enfu_fuel_natural_gas_usd_per_mmbtu</t>
  </si>
  <si>
    <t>cost_enfu_fuel_nuclear_usd_per_tonne</t>
  </si>
  <si>
    <t>cost_enfu_fuel_oil_usd_per_m3</t>
  </si>
  <si>
    <t>cost_enfu_fuel_waste_usd_per_mmbtu</t>
  </si>
  <si>
    <t>dem_ippu_average_materials_tonne_per_household_cement</t>
  </si>
  <si>
    <t>dem_ippu_average_materials_tonne_per_household_wood</t>
  </si>
  <si>
    <t>deminit_trde_freight_mt_km</t>
  </si>
  <si>
    <t>deminit_trde_private_and_public_per_capita_passenger_km</t>
  </si>
  <si>
    <t>deminit_trde_regional_per_capita_passenger_km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</si>
  <si>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</si>
  <si>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</si>
  <si>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</si>
  <si>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</si>
  <si>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</si>
  <si>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</si>
  <si>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</si>
  <si>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</si>
  <si>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</si>
  <si>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</si>
  <si>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</si>
  <si>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</si>
  <si>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</si>
  <si>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</si>
  <si>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</si>
  <si>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</si>
  <si>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</si>
  <si>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demscalar_ippu_recycled_glass</t>
  </si>
  <si>
    <t>demscalar_ippu_recycled_metals</t>
  </si>
  <si>
    <t>demscalar_ippu_recycled_paper</t>
  </si>
  <si>
    <t>demscalar_ippu_recycled_plastic</t>
  </si>
  <si>
    <t>demscalar_ippu_recycled_rubber_and_leather</t>
  </si>
  <si>
    <t>demscalar_ippu_recycled_textiles</t>
  </si>
  <si>
    <t>demscalar_ippu_recycled_wood</t>
  </si>
  <si>
    <t>demscalar_ippu_rubber_and_leather</t>
  </si>
  <si>
    <t>demscalar_ippu_textiles</t>
  </si>
  <si>
    <t>demscalar_ippu_wood</t>
  </si>
  <si>
    <t>demscalar_trde_freight</t>
  </si>
  <si>
    <t>demscalar_trde_private_and_public</t>
  </si>
  <si>
    <t>demscalar_trde_regional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</si>
  <si>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</si>
  <si>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</si>
  <si>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</si>
  <si>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</si>
  <si>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</si>
  <si>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</si>
  <si>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</si>
  <si>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</si>
  <si>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</si>
  <si>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</si>
  <si>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</si>
  <si>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</si>
  <si>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</si>
  <si>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</si>
  <si>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ef_enfu_combustion_tonne_co2_per_tj_fuel_water</t>
  </si>
  <si>
    <t>ef_enfu_combustion_tonne_co2_per_tj_fuel_kerosene</t>
  </si>
  <si>
    <t>ef_enfu_combustion_tonne_co2_per_tj_fuel_natural_gas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</si>
  <si>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</si>
  <si>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</si>
  <si>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</si>
  <si>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</si>
  <si>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</si>
  <si>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</si>
  <si>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</si>
  <si>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ef_enfu_combustion_tonne_co2_per_tj_fuel_wind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</si>
  <si>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</si>
  <si>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</si>
  <si>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</si>
  <si>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</si>
  <si>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</si>
  <si>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</si>
  <si>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</si>
  <si>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</si>
  <si>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</si>
  <si>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</si>
  <si>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</si>
  <si>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</si>
  <si>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</si>
  <si>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</si>
  <si>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ef_enfu_stationary_combustion_tonne_ch4_per_tj_fuel_water</t>
  </si>
  <si>
    <t>ef_enfu_stationary_combustion_tonne_ch4_per_tj_fuel_kerosene</t>
  </si>
  <si>
    <t>ef_enfu_stationary_combustion_tonne_ch4_per_tj_fuel_natural_gas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</si>
  <si>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</si>
  <si>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</si>
  <si>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</si>
  <si>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</si>
  <si>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</si>
  <si>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</si>
  <si>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</si>
  <si>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ef_enfu_stationary_combustion_tonne_ch4_per_tj_fuel_wind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</si>
  <si>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</si>
  <si>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</si>
  <si>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</si>
  <si>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</si>
  <si>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</si>
  <si>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</si>
  <si>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</si>
  <si>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</si>
  <si>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</si>
  <si>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</si>
  <si>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</si>
  <si>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</si>
  <si>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</si>
  <si>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</si>
  <si>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ef_enfu_stationary_combustion_tonne_n2o_per_tj_fuel_water</t>
  </si>
  <si>
    <t>ef_enfu_stationary_combustion_tonne_n2o_per_tj_fuel_kerosene</t>
  </si>
  <si>
    <t>ef_enfu_stationary_combustion_tonne_n2o_per_tj_fuel_natural_gas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</si>
  <si>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</si>
  <si>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</si>
  <si>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</si>
  <si>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</si>
  <si>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</si>
  <si>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</si>
  <si>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</si>
  <si>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ef_enfu_stationary_combustion_tonne_n2o_per_tj_fuel_wind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</si>
  <si>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</si>
  <si>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</si>
  <si>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</si>
  <si>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</si>
  <si>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</si>
  <si>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</si>
  <si>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</si>
  <si>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</si>
  <si>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</si>
  <si>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</si>
  <si>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</si>
  <si>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</si>
  <si>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</si>
  <si>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</si>
  <si>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</si>
  <si>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</si>
  <si>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</si>
  <si>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</si>
  <si>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</si>
  <si>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</si>
  <si>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</si>
  <si>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</si>
  <si>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</si>
  <si>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</si>
  <si>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</si>
  <si>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</si>
  <si>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</si>
  <si>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</si>
  <si>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</si>
  <si>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</si>
  <si>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</si>
  <si>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</si>
  <si>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</si>
  <si>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</si>
  <si>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</si>
  <si>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</si>
  <si>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</si>
  <si>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</si>
  <si>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</si>
  <si>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ef_ippu_tonne_c2h3f3_per_mmm_gdp_product_use_ods_refrigeration</t>
  </si>
  <si>
    <t>ef_ippu_tonne_c2h3f3_per_tonne_production_chemicals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</si>
  <si>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</si>
  <si>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</si>
  <si>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</si>
  <si>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ef_ippu_tonne_c3f8_per_tonne_production_chemicals</t>
  </si>
  <si>
    <t>ef_ippu_tonne_c3f8_per_tonne_production_electronics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</si>
  <si>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</si>
  <si>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</si>
  <si>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</si>
  <si>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</si>
  <si>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</si>
  <si>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</si>
  <si>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</si>
  <si>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ef_ippu_tonne_c4f10_per_mmm_gdp_product_use_ods_other</t>
  </si>
  <si>
    <t>ef_ippu_tonne_c4f10_per_tonne_production_chemicals</t>
  </si>
  <si>
    <t>ef_ippu_tonne_c4f6_per_tonne_production_electronics</t>
  </si>
  <si>
    <t>ef_ippu_tonne_c4f8o_per_tonne_production_electronics</t>
  </si>
  <si>
    <t>ef_ippu_tonne_c4h5f5_per_mmm_gdp_product_use_ods_other</t>
  </si>
  <si>
    <t>ef_ippu_tonne_c4h5f5_per_tonne_production_chemicals</t>
  </si>
  <si>
    <t>ef_ippu_tonne_c5f12_per_tonne_production_chemicals</t>
  </si>
  <si>
    <t>ef_ippu_tonne_c5f8_per_tonne_production_electronics</t>
  </si>
  <si>
    <t>ef_ippu_tonne_c5h2f10_per_mmm_gdp_product_use_ods_other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</si>
  <si>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</si>
  <si>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</si>
  <si>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</si>
  <si>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</si>
  <si>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</si>
  <si>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</si>
  <si>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</si>
  <si>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</si>
  <si>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</si>
  <si>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</si>
  <si>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</si>
  <si>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</si>
  <si>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</si>
  <si>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</si>
  <si>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</si>
  <si>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</si>
  <si>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</si>
  <si>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ef_ippu_tonne_ch3f_per_tonne_production_electronics</t>
  </si>
  <si>
    <t>ef_ippu_tonne_ch4_per_tonne_production_chemicals</t>
  </si>
  <si>
    <t>ef_ippu_tonne_ch4_per_tonne_production_metals</t>
  </si>
  <si>
    <t>ef_ippu_tonne_ch4_per_tonne_production_plastic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</si>
  <si>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</si>
  <si>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</si>
  <si>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</si>
  <si>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ef_ippu_tonne_chf2chf2_per_mmm_gdp_product_use_ods_refrigeration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</si>
  <si>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</si>
  <si>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</si>
  <si>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</si>
  <si>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</si>
  <si>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</si>
  <si>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</si>
  <si>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</si>
  <si>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</si>
  <si>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</si>
  <si>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</si>
  <si>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</si>
  <si>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</si>
  <si>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</si>
  <si>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</si>
  <si>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</si>
  <si>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</si>
  <si>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</si>
  <si>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</si>
  <si>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</si>
  <si>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</si>
  <si>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</si>
  <si>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</si>
  <si>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</si>
  <si>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</si>
  <si>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</si>
  <si>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</si>
  <si>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</si>
  <si>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</si>
  <si>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</si>
  <si>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</si>
  <si>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</si>
  <si>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</si>
  <si>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</si>
  <si>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</si>
  <si>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</si>
  <si>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</si>
  <si>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</si>
  <si>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</si>
  <si>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</si>
  <si>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</si>
  <si>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</si>
  <si>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</si>
  <si>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</si>
  <si>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</si>
  <si>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</si>
  <si>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</si>
  <si>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</si>
  <si>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</si>
  <si>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</si>
  <si>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</si>
  <si>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</si>
  <si>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</si>
  <si>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</si>
  <si>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</si>
  <si>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</si>
  <si>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</si>
  <si>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</si>
  <si>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</si>
  <si>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</si>
  <si>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</si>
  <si>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</si>
  <si>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</si>
  <si>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</si>
  <si>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</si>
  <si>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</si>
  <si>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</si>
  <si>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</si>
  <si>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</si>
  <si>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</si>
  <si>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</si>
  <si>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</si>
  <si>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ef_trns_mobile_combustion_water_borne_kg_ch4_per_tj_diesel</t>
  </si>
  <si>
    <t>ef_trns_mobile_combustion_water_borne_kg_ch4_per_tj_natural_gas</t>
  </si>
  <si>
    <t>ef_trns_mobile_combustion_water_borne_kg_n2o_per_tj_diesel</t>
  </si>
  <si>
    <t>ef_trns_mobile_combustion_water_borne_kg_n2o_per_tj_natural_gas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</si>
  <si>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</si>
  <si>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</si>
  <si>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</si>
  <si>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</si>
  <si>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</si>
  <si>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</si>
  <si>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</si>
  <si>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</si>
  <si>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</si>
  <si>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</si>
  <si>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</si>
  <si>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</si>
  <si>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</si>
  <si>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</si>
  <si>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</si>
  <si>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</si>
  <si>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</si>
  <si>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</si>
  <si>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</si>
  <si>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</si>
  <si>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</si>
  <si>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</si>
  <si>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</si>
  <si>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</si>
  <si>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</si>
  <si>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</si>
  <si>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</si>
  <si>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</si>
  <si>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</si>
  <si>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</si>
  <si>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</si>
  <si>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</si>
  <si>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</si>
  <si>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</si>
  <si>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efficfactor_scoe_heat_energy_commercial_municipal_coal</t>
  </si>
  <si>
    <t>efficfactor_scoe_heat_energy_commercial_municipal_diesel</t>
  </si>
  <si>
    <t>efficfactor_scoe_heat_energy_commercial_municipal_electricity</t>
  </si>
  <si>
    <t>efficfactor_scoe_heat_energy_commercial_municipal_gasoline</t>
  </si>
  <si>
    <t>efficfactor_scoe_heat_energy_commercial_municipal_hydrocarbon_gas_liquids</t>
  </si>
  <si>
    <t>efficfactor_scoe_heat_energy_commercial_municipal_hydrogen</t>
  </si>
  <si>
    <t>efficfactor_scoe_heat_energy_commercial_municipal_kerosene</t>
  </si>
  <si>
    <t>efficfactor_scoe_heat_energy_commercial_municipal_natural_gas</t>
  </si>
  <si>
    <t>efficfactor_scoe_heat_energy_commercial_municipal_solid_biomass</t>
  </si>
  <si>
    <t>efficfactor_scoe_heat_energy_other_se_coal</t>
  </si>
  <si>
    <t>efficfactor_scoe_heat_energy_other_se_diesel</t>
  </si>
  <si>
    <t>efficfactor_scoe_heat_energy_other_se_electricity</t>
  </si>
  <si>
    <t>efficfactor_scoe_heat_energy_other_se_gasoline</t>
  </si>
  <si>
    <t>efficfactor_scoe_heat_energy_other_se_hydrocarbon_gas_liquids</t>
  </si>
  <si>
    <t>efficfactor_scoe_heat_energy_other_se_hydrogen</t>
  </si>
  <si>
    <t>efficfactor_scoe_heat_energy_other_se_kerosene</t>
  </si>
  <si>
    <t>efficfactor_scoe_heat_energy_other_se_natural_gas</t>
  </si>
  <si>
    <t>efficfactor_scoe_heat_energy_other_se_solid_biomass</t>
  </si>
  <si>
    <t>efficfactor_scoe_heat_energy_residential_coal</t>
  </si>
  <si>
    <t>efficfactor_scoe_heat_energy_residential_diesel</t>
  </si>
  <si>
    <t>efficfactor_scoe_heat_energy_residential_electricity</t>
  </si>
  <si>
    <t>efficfactor_scoe_heat_energy_residential_gasoline</t>
  </si>
  <si>
    <t>efficfactor_scoe_heat_energy_residential_hydrocarbon_gas_liquids</t>
  </si>
  <si>
    <t>efficfactor_scoe_heat_energy_residential_hydrogen</t>
  </si>
  <si>
    <t>efficfactor_scoe_heat_energy_residential_kerosene</t>
  </si>
  <si>
    <t>efficfactor_scoe_heat_energy_residential_natural_gas</t>
  </si>
  <si>
    <t>efficfactor_scoe_heat_energy_residential_solid_biomass</t>
  </si>
  <si>
    <t>elasticity_gnrl_rate_occupancy_to_gdppc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</si>
  <si>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</si>
  <si>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</si>
  <si>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</si>
  <si>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</si>
  <si>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</si>
  <si>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</si>
  <si>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</si>
  <si>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</si>
  <si>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</si>
  <si>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</si>
  <si>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</si>
  <si>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</si>
  <si>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</si>
  <si>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</si>
  <si>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</si>
  <si>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</si>
  <si>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</si>
  <si>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</si>
  <si>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</si>
  <si>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</si>
  <si>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</si>
  <si>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</si>
  <si>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elasticity_trde_mtkm_to_gdp_freight</t>
  </si>
  <si>
    <t>elasticity_trde_pkm_to_gdppc_private_and_public</t>
  </si>
  <si>
    <t>elasticity_trde_pkm_to_gdppc_regional</t>
  </si>
  <si>
    <t>elecfuelefficiency_trns_aviation_km_per_kwh</t>
  </si>
  <si>
    <t>elecfuelefficiency_trns_powered_bikes_km_per_kwh</t>
  </si>
  <si>
    <t>elecfuelefficiency_trns_public_km_per_kwh</t>
  </si>
  <si>
    <t>elecfuelefficiency_trns_rail_freight_km_per_kwh</t>
  </si>
  <si>
    <t>elecfuelefficiency_trns_rail_passenger_km_per_kwh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</si>
  <si>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</si>
  <si>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</si>
  <si>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</si>
  <si>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</si>
  <si>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emitinit_ippu_product_use_other_kt_co2</t>
  </si>
  <si>
    <t>energy_intensity_ccsq_direct_air_capture_gj_per_tonne_co2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</si>
  <si>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</si>
  <si>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</si>
  <si>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</si>
  <si>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</si>
  <si>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</si>
  <si>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</si>
  <si>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</si>
  <si>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</si>
  <si>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</si>
  <si>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</si>
  <si>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</si>
  <si>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</si>
  <si>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</si>
  <si>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energydensity_enfu_mj_per_litre_fuel_oil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</si>
  <si>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</si>
  <si>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</si>
  <si>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</si>
  <si>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</si>
  <si>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</si>
  <si>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</si>
  <si>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energydensity_gravimetric_enfu_gj_per_tonne_fuel_nuclear</t>
  </si>
  <si>
    <t>energydensity_gravimetric_enfu_gj_per_tonne_fuel_waste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</si>
  <si>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</si>
  <si>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</si>
  <si>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</si>
  <si>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</si>
  <si>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</si>
  <si>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</si>
  <si>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exports_enfu_pj_fuel_hydrogen</t>
  </si>
  <si>
    <t>exports_enfu_pj_fuel_kerosene</t>
  </si>
  <si>
    <t>exports_enfu_pj_fuel_natural_gas</t>
  </si>
  <si>
    <t>exports_enfu_pj_fuel_oil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</si>
  <si>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</si>
  <si>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</si>
  <si>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</si>
  <si>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</si>
  <si>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</si>
  <si>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</si>
  <si>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</si>
  <si>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</si>
  <si>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</si>
  <si>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</si>
  <si>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</si>
  <si>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frac_enfu_fuel_demand_imported_pj_fuel_hydrogen</t>
  </si>
  <si>
    <t>frac_enfu_fuel_demand_imported_pj_fuel_kerosene</t>
  </si>
  <si>
    <t>frac_enfu_fuel_demand_imported_pj_fuel_natural_gas</t>
  </si>
  <si>
    <t>frac_enfu_fuel_demand_imported_pj_fuel_oil</t>
  </si>
  <si>
    <t>frac_enfu_minimum_fuel_to_electricity_fuel_biogas</t>
  </si>
  <si>
    <t>frac_enfu_minimum_fuel_to_electricity_fuel_waste</t>
  </si>
  <si>
    <t>frac_enfu_transmission_loss_fuel_electricity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</si>
  <si>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</si>
  <si>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</si>
  <si>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</si>
  <si>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</si>
  <si>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</si>
  <si>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</si>
  <si>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</si>
  <si>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</si>
  <si>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</si>
  <si>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</si>
  <si>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</si>
  <si>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</si>
  <si>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</si>
  <si>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</si>
  <si>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frac_fgtv_drained_and_waste_ch4_flared_fuel_coal</t>
  </si>
  <si>
    <t>frac_fgtv_drained_and_waste_ch4_flared_fuel_oil</t>
  </si>
  <si>
    <t>frac_fgtv_reduction_in_fugitive_leaks</t>
  </si>
  <si>
    <t>frac_gnrl_eating_red_meat</t>
  </si>
  <si>
    <t>frac_inen_energy_agriculture_and_livestock_coal</t>
  </si>
  <si>
    <t>frac_inen_energy_agriculture_and_livestock_coke</t>
  </si>
  <si>
    <t>frac_inen_energy_agriculture_and_livestock_diesel</t>
  </si>
  <si>
    <t>frac_inen_energy_agriculture_and_livestock_electricity</t>
  </si>
  <si>
    <t>frac_inen_energy_agriculture_and_livestock_furnace_gas</t>
  </si>
  <si>
    <t>frac_inen_energy_agriculture_and_livestock_gasoline</t>
  </si>
  <si>
    <t>frac_inen_energy_agriculture_and_livestock_hydrocarbon_gas_liquids</t>
  </si>
  <si>
    <t>frac_inen_energy_agriculture_and_livestock_hydrogen</t>
  </si>
  <si>
    <t>frac_inen_energy_agriculture_and_livestock_kerosene</t>
  </si>
  <si>
    <t>frac_inen_energy_agriculture_and_livestock_natural_gas</t>
  </si>
  <si>
    <t>frac_inen_energy_agriculture_and_livestock_oil</t>
  </si>
  <si>
    <t>frac_inen_energy_agriculture_and_livestock_solar</t>
  </si>
  <si>
    <t>frac_inen_energy_agriculture_and_livestock_solid_biomass</t>
  </si>
  <si>
    <t>frac_inen_energy_cement_coal</t>
  </si>
  <si>
    <t>frac_inen_energy_cement_coke</t>
  </si>
  <si>
    <t>frac_inen_energy_cement_diesel</t>
  </si>
  <si>
    <t>frac_inen_energy_cement_electricity</t>
  </si>
  <si>
    <t>frac_inen_energy_cement_furnace_gas</t>
  </si>
  <si>
    <t>frac_inen_energy_cement_gasoline</t>
  </si>
  <si>
    <t>frac_inen_energy_cement_hydrocarbon_gas_liquids</t>
  </si>
  <si>
    <t>frac_inen_energy_cement_hydrogen</t>
  </si>
  <si>
    <t>frac_inen_energy_cement_kerosene</t>
  </si>
  <si>
    <t>frac_inen_energy_cement_natural_gas</t>
  </si>
  <si>
    <t>frac_inen_energy_cement_oil</t>
  </si>
  <si>
    <t>frac_inen_energy_cement_solar</t>
  </si>
  <si>
    <t>frac_inen_energy_cement_solid_biomass</t>
  </si>
  <si>
    <t>frac_inen_energy_chemicals_coal</t>
  </si>
  <si>
    <t>frac_inen_energy_chemicals_coke</t>
  </si>
  <si>
    <t>frac_inen_energy_chemicals_diesel</t>
  </si>
  <si>
    <t>frac_inen_energy_chemicals_electricity</t>
  </si>
  <si>
    <t>frac_inen_energy_chemicals_furnace_gas</t>
  </si>
  <si>
    <t>frac_inen_energy_chemicals_gasoline</t>
  </si>
  <si>
    <t>frac_inen_energy_chemicals_hydrocarbon_gas_liquids</t>
  </si>
  <si>
    <t>frac_inen_energy_chemicals_hydrogen</t>
  </si>
  <si>
    <t>frac_inen_energy_chemicals_kerosene</t>
  </si>
  <si>
    <t>frac_inen_energy_chemicals_natural_gas</t>
  </si>
  <si>
    <t>frac_inen_energy_chemicals_oil</t>
  </si>
  <si>
    <t>frac_inen_energy_chemicals_solar</t>
  </si>
  <si>
    <t>frac_inen_energy_chemicals_solid_biomass</t>
  </si>
  <si>
    <t>frac_inen_energy_electronics_coal</t>
  </si>
  <si>
    <t>frac_inen_energy_electronics_coke</t>
  </si>
  <si>
    <t>frac_inen_energy_electronics_diesel</t>
  </si>
  <si>
    <t>frac_inen_energy_electronics_electricity</t>
  </si>
  <si>
    <t>frac_inen_energy_electronics_furnace_gas</t>
  </si>
  <si>
    <t>frac_inen_energy_electronics_gasoline</t>
  </si>
  <si>
    <t>frac_inen_energy_electronics_hydrocarbon_gas_liquids</t>
  </si>
  <si>
    <t>frac_inen_energy_electronics_hydrogen</t>
  </si>
  <si>
    <t>frac_inen_energy_electronics_kerosene</t>
  </si>
  <si>
    <t>frac_inen_energy_electronics_natural_gas</t>
  </si>
  <si>
    <t>frac_inen_energy_electronics_oil</t>
  </si>
  <si>
    <t>frac_inen_energy_electronics_solar</t>
  </si>
  <si>
    <t>frac_inen_energy_electronics_solid_biomass</t>
  </si>
  <si>
    <t>frac_inen_energy_glass_coal</t>
  </si>
  <si>
    <t>frac_inen_energy_glass_coke</t>
  </si>
  <si>
    <t>frac_inen_energy_glass_diesel</t>
  </si>
  <si>
    <t>frac_inen_energy_glass_electricity</t>
  </si>
  <si>
    <t>frac_inen_energy_glass_furnace_gas</t>
  </si>
  <si>
    <t>frac_inen_energy_glass_gasoline</t>
  </si>
  <si>
    <t>frac_inen_energy_glass_hydrocarbon_gas_liquids</t>
  </si>
  <si>
    <t>frac_inen_energy_glass_hydrogen</t>
  </si>
  <si>
    <t>frac_inen_energy_glass_kerosene</t>
  </si>
  <si>
    <t>frac_inen_energy_glass_natural_gas</t>
  </si>
  <si>
    <t>frac_inen_energy_glass_oil</t>
  </si>
  <si>
    <t>frac_inen_energy_glass_solar</t>
  </si>
  <si>
    <t>frac_inen_energy_glass_solid_biomass</t>
  </si>
  <si>
    <t>frac_inen_energy_lime_and_carbonite_coal</t>
  </si>
  <si>
    <t>frac_inen_energy_lime_and_carbonite_coke</t>
  </si>
  <si>
    <t>frac_inen_energy_lime_and_carbonite_diesel</t>
  </si>
  <si>
    <t>frac_inen_energy_lime_and_carbonite_electricity</t>
  </si>
  <si>
    <t>frac_inen_energy_lime_and_carbonite_furnace_gas</t>
  </si>
  <si>
    <t>frac_inen_energy_lime_and_carbonite_gasoline</t>
  </si>
  <si>
    <t>frac_inen_energy_lime_and_carbonite_hydrocarbon_gas_liquids</t>
  </si>
  <si>
    <t>frac_inen_energy_lime_and_carbonite_hydrogen</t>
  </si>
  <si>
    <t>frac_inen_energy_lime_and_carbonite_kerosene</t>
  </si>
  <si>
    <t>frac_inen_energy_lime_and_carbonite_natural_gas</t>
  </si>
  <si>
    <t>frac_inen_energy_lime_and_carbonite_oil</t>
  </si>
  <si>
    <t>frac_inen_energy_lime_and_carbonite_solar</t>
  </si>
  <si>
    <t>frac_inen_energy_lime_and_carbonite_solid_biomass</t>
  </si>
  <si>
    <t>frac_inen_energy_metals_coal</t>
  </si>
  <si>
    <t>frac_inen_energy_metals_coke</t>
  </si>
  <si>
    <t>frac_inen_energy_metals_diesel</t>
  </si>
  <si>
    <t>frac_inen_energy_metals_electricity</t>
  </si>
  <si>
    <t>frac_inen_energy_metals_furnace_gas</t>
  </si>
  <si>
    <t>frac_inen_energy_metals_gasoline</t>
  </si>
  <si>
    <t>frac_inen_energy_metals_hydrocarbon_gas_liquids</t>
  </si>
  <si>
    <t>frac_inen_energy_metals_hydrogen</t>
  </si>
  <si>
    <t>frac_inen_energy_metals_kerosene</t>
  </si>
  <si>
    <t>frac_inen_energy_metals_natural_gas</t>
  </si>
  <si>
    <t>frac_inen_energy_metals_oil</t>
  </si>
  <si>
    <t>frac_inen_energy_metals_solar</t>
  </si>
  <si>
    <t>frac_inen_energy_metals_solid_biomass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</si>
  <si>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</si>
  <si>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</si>
  <si>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</si>
  <si>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</si>
  <si>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</si>
  <si>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</si>
  <si>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</si>
  <si>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</si>
  <si>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</si>
  <si>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</si>
  <si>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</si>
  <si>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</si>
  <si>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</si>
  <si>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</si>
  <si>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frac_inen_energy_other_product_manufacturing_coal</t>
  </si>
  <si>
    <t>frac_inen_energy_other_product_manufacturing_coke</t>
  </si>
  <si>
    <t>frac_inen_energy_other_product_manufacturing_diesel</t>
  </si>
  <si>
    <t>frac_inen_energy_other_product_manufacturing_electricity</t>
  </si>
  <si>
    <t>frac_inen_energy_other_product_manufacturing_furnace_gas</t>
  </si>
  <si>
    <t>frac_inen_energy_other_product_manufacturing_gasoline</t>
  </si>
  <si>
    <t>frac_inen_energy_other_product_manufacturing_hydrocarbon_gas_liquids</t>
  </si>
  <si>
    <t>frac_inen_energy_other_product_manufacturing_hydrogen</t>
  </si>
  <si>
    <t>frac_inen_energy_other_product_manufacturing_kerosene</t>
  </si>
  <si>
    <t>frac_inen_energy_other_product_manufacturing_natural_gas</t>
  </si>
  <si>
    <t>frac_inen_energy_other_product_manufacturing_oil</t>
  </si>
  <si>
    <t>frac_inen_energy_other_product_manufacturing_solar</t>
  </si>
  <si>
    <t>frac_inen_energy_other_product_manufacturing_solid_biomass</t>
  </si>
  <si>
    <t>frac_inen_energy_paper_coal</t>
  </si>
  <si>
    <t>frac_inen_energy_paper_coke</t>
  </si>
  <si>
    <t>frac_inen_energy_paper_diesel</t>
  </si>
  <si>
    <t>frac_inen_energy_paper_electricity</t>
  </si>
  <si>
    <t>frac_inen_energy_paper_furnace_gas</t>
  </si>
  <si>
    <t>frac_inen_energy_paper_gasoline</t>
  </si>
  <si>
    <t>frac_inen_energy_paper_hydrocarbon_gas_liquids</t>
  </si>
  <si>
    <t>frac_inen_energy_paper_hydrogen</t>
  </si>
  <si>
    <t>frac_inen_energy_paper_kerosene</t>
  </si>
  <si>
    <t>frac_inen_energy_paper_natural_gas</t>
  </si>
  <si>
    <t>frac_inen_energy_paper_oil</t>
  </si>
  <si>
    <t>frac_inen_energy_paper_solar</t>
  </si>
  <si>
    <t>frac_inen_energy_paper_solid_biomass</t>
  </si>
  <si>
    <t>frac_inen_energy_plastic_coal</t>
  </si>
  <si>
    <t>frac_inen_energy_plastic_coke</t>
  </si>
  <si>
    <t>frac_inen_energy_plastic_diesel</t>
  </si>
  <si>
    <t>frac_inen_energy_plastic_electricity</t>
  </si>
  <si>
    <t>frac_inen_energy_plastic_furnace_gas</t>
  </si>
  <si>
    <t>frac_inen_energy_plastic_gasoline</t>
  </si>
  <si>
    <t>frac_inen_energy_plastic_hydrocarbon_gas_liquids</t>
  </si>
  <si>
    <t>frac_inen_energy_plastic_hydrogen</t>
  </si>
  <si>
    <t>frac_inen_energy_plastic_kerosene</t>
  </si>
  <si>
    <t>frac_inen_energy_plastic_natural_gas</t>
  </si>
  <si>
    <t>frac_inen_energy_plastic_oil</t>
  </si>
  <si>
    <t>frac_inen_energy_plastic_solar</t>
  </si>
  <si>
    <t>frac_inen_energy_plastic_solid_biomass</t>
  </si>
  <si>
    <t>frac_inen_energy_recycled_glass_coal</t>
  </si>
  <si>
    <t>frac_inen_energy_recycled_glass_coke</t>
  </si>
  <si>
    <t>frac_inen_energy_recycled_glass_diesel</t>
  </si>
  <si>
    <t>frac_inen_energy_recycled_glass_electricity</t>
  </si>
  <si>
    <t>frac_inen_energy_recycled_glass_furnace_gas</t>
  </si>
  <si>
    <t>frac_inen_energy_recycled_glass_gasoline</t>
  </si>
  <si>
    <t>frac_inen_energy_recycled_glass_hydrocarbon_gas_liquids</t>
  </si>
  <si>
    <t>frac_inen_energy_recycled_glass_hydrogen</t>
  </si>
  <si>
    <t>frac_inen_energy_recycled_glass_kerosene</t>
  </si>
  <si>
    <t>frac_inen_energy_recycled_glass_natural_gas</t>
  </si>
  <si>
    <t>frac_inen_energy_recycled_glass_oil</t>
  </si>
  <si>
    <t>frac_inen_energy_recycled_glass_solar</t>
  </si>
  <si>
    <t>frac_inen_energy_recycled_glass_solid_biomass</t>
  </si>
  <si>
    <t>frac_inen_energy_recycled_metals_coal</t>
  </si>
  <si>
    <t>frac_inen_energy_recycled_metals_coke</t>
  </si>
  <si>
    <t>frac_inen_energy_recycled_metals_diesel</t>
  </si>
  <si>
    <t>frac_inen_energy_recycled_metals_electricity</t>
  </si>
  <si>
    <t>frac_inen_energy_recycled_metals_furnace_gas</t>
  </si>
  <si>
    <t>frac_inen_energy_recycled_metals_gasoline</t>
  </si>
  <si>
    <t>frac_inen_energy_recycled_metals_hydrocarbon_gas_liquids</t>
  </si>
  <si>
    <t>frac_inen_energy_recycled_metals_hydrogen</t>
  </si>
  <si>
    <t>frac_inen_energy_recycled_metals_kerosene</t>
  </si>
  <si>
    <t>frac_inen_energy_recycled_metals_natural_gas</t>
  </si>
  <si>
    <t>frac_inen_energy_recycled_metals_oil</t>
  </si>
  <si>
    <t>frac_inen_energy_recycled_metals_solar</t>
  </si>
  <si>
    <t>frac_inen_energy_recycled_metals_solid_biomass</t>
  </si>
  <si>
    <t>frac_inen_energy_recycled_paper_coal</t>
  </si>
  <si>
    <t>frac_inen_energy_recycled_paper_coke</t>
  </si>
  <si>
    <t>frac_inen_energy_recycled_paper_diesel</t>
  </si>
  <si>
    <t>frac_inen_energy_recycled_paper_electricity</t>
  </si>
  <si>
    <t>frac_inen_energy_recycled_paper_furnace_gas</t>
  </si>
  <si>
    <t>frac_inen_energy_recycled_paper_gasoline</t>
  </si>
  <si>
    <t>frac_inen_energy_recycled_paper_hydrocarbon_gas_liquids</t>
  </si>
  <si>
    <t>frac_inen_energy_recycled_paper_hydrogen</t>
  </si>
  <si>
    <t>frac_inen_energy_recycled_paper_kerosene</t>
  </si>
  <si>
    <t>frac_inen_energy_recycled_paper_natural_gas</t>
  </si>
  <si>
    <t>frac_inen_energy_recycled_paper_oil</t>
  </si>
  <si>
    <t>frac_inen_energy_recycled_paper_solar</t>
  </si>
  <si>
    <t>frac_inen_energy_recycled_paper_solid_biomass</t>
  </si>
  <si>
    <t>frac_inen_energy_recycled_plastic_coal</t>
  </si>
  <si>
    <t>frac_inen_energy_recycled_plastic_coke</t>
  </si>
  <si>
    <t>frac_inen_energy_recycled_plastic_diesel</t>
  </si>
  <si>
    <t>frac_inen_energy_recycled_plastic_electricity</t>
  </si>
  <si>
    <t>frac_inen_energy_recycled_plastic_furnace_gas</t>
  </si>
  <si>
    <t>frac_inen_energy_recycled_plastic_gasoline</t>
  </si>
  <si>
    <t>frac_inen_energy_recycled_plastic_hydrocarbon_gas_liquids</t>
  </si>
  <si>
    <t>frac_inen_energy_recycled_plastic_hydrogen</t>
  </si>
  <si>
    <t>frac_inen_energy_recycled_plastic_kerosene</t>
  </si>
  <si>
    <t>frac_inen_energy_recycled_plastic_natural_gas</t>
  </si>
  <si>
    <t>frac_inen_energy_recycled_plastic_oil</t>
  </si>
  <si>
    <t>frac_inen_energy_recycled_plastic_solar</t>
  </si>
  <si>
    <t>frac_inen_energy_recycled_plastic_solid_biomass</t>
  </si>
  <si>
    <t>frac_inen_energy_recycled_rubber_and_leather_coal</t>
  </si>
  <si>
    <t>frac_inen_energy_recycled_rubber_and_leather_coke</t>
  </si>
  <si>
    <t>frac_inen_energy_recycled_rubber_and_leather_diesel</t>
  </si>
  <si>
    <t>frac_inen_energy_recycled_rubber_and_leather_electricity</t>
  </si>
  <si>
    <t>frac_inen_energy_recycled_rubber_and_leather_furnace_gas</t>
  </si>
  <si>
    <t>frac_inen_energy_recycled_rubber_and_leather_gasoline</t>
  </si>
  <si>
    <t>frac_inen_energy_recycled_rubber_and_leather_hydrocarbon_gas_liquids</t>
  </si>
  <si>
    <t>frac_inen_energy_recycled_rubber_and_leather_hydrogen</t>
  </si>
  <si>
    <t>frac_inen_energy_recycled_rubber_and_leather_kerosene</t>
  </si>
  <si>
    <t>frac_inen_energy_recycled_rubber_and_leather_natural_gas</t>
  </si>
  <si>
    <t>frac_inen_energy_recycled_rubber_and_leather_oil</t>
  </si>
  <si>
    <t>frac_inen_energy_recycled_rubber_and_leather_solar</t>
  </si>
  <si>
    <t>frac_inen_energy_recycled_rubber_and_leather_solid_biomass</t>
  </si>
  <si>
    <t>frac_inen_energy_recycled_textiles_coal</t>
  </si>
  <si>
    <t>frac_inen_energy_recycled_textiles_coke</t>
  </si>
  <si>
    <t>frac_inen_energy_recycled_textiles_diesel</t>
  </si>
  <si>
    <t>frac_inen_energy_recycled_textiles_electricity</t>
  </si>
  <si>
    <t>frac_inen_energy_recycled_textiles_furnace_gas</t>
  </si>
  <si>
    <t>frac_inen_energy_recycled_textiles_gasoline</t>
  </si>
  <si>
    <t>frac_inen_energy_recycled_textiles_hydrocarbon_gas_liquids</t>
  </si>
  <si>
    <t>frac_inen_energy_recycled_textiles_hydrogen</t>
  </si>
  <si>
    <t>frac_inen_energy_recycled_textiles_kerosene</t>
  </si>
  <si>
    <t>frac_inen_energy_recycled_textiles_natural_gas</t>
  </si>
  <si>
    <t>frac_inen_energy_recycled_textiles_oil</t>
  </si>
  <si>
    <t>frac_inen_energy_recycled_textiles_solar</t>
  </si>
  <si>
    <t>frac_inen_energy_recycled_textiles_solid_biomass</t>
  </si>
  <si>
    <t>frac_inen_energy_recycled_wood_coal</t>
  </si>
  <si>
    <t>frac_inen_energy_recycled_wood_coke</t>
  </si>
  <si>
    <t>frac_inen_energy_recycled_wood_diesel</t>
  </si>
  <si>
    <t>frac_inen_energy_recycled_wood_electricity</t>
  </si>
  <si>
    <t>frac_inen_energy_recycled_wood_furnace_gas</t>
  </si>
  <si>
    <t>frac_inen_energy_recycled_wood_gasoline</t>
  </si>
  <si>
    <t>frac_inen_energy_recycled_wood_hydrocarbon_gas_liquids</t>
  </si>
  <si>
    <t>frac_inen_energy_recycled_wood_hydrogen</t>
  </si>
  <si>
    <t>frac_inen_energy_recycled_wood_kerosene</t>
  </si>
  <si>
    <t>frac_inen_energy_recycled_wood_natural_gas</t>
  </si>
  <si>
    <t>frac_inen_energy_recycled_wood_oil</t>
  </si>
  <si>
    <t>frac_inen_energy_recycled_wood_solar</t>
  </si>
  <si>
    <t>frac_inen_energy_recycled_wood_solid_biomass</t>
  </si>
  <si>
    <t>frac_inen_energy_rubber_and_leather_coal</t>
  </si>
  <si>
    <t>frac_inen_energy_rubber_and_leather_coke</t>
  </si>
  <si>
    <t>frac_inen_energy_rubber_and_leather_diesel</t>
  </si>
  <si>
    <t>frac_inen_energy_rubber_and_leather_electricity</t>
  </si>
  <si>
    <t>frac_inen_energy_rubber_and_leather_furnace_gas</t>
  </si>
  <si>
    <t>frac_inen_energy_rubber_and_leather_gasoline</t>
  </si>
  <si>
    <t>frac_inen_energy_rubber_and_leather_hydrocarbon_gas_liquids</t>
  </si>
  <si>
    <t>frac_inen_energy_rubber_and_leather_hydrogen</t>
  </si>
  <si>
    <t>frac_inen_energy_rubber_and_leather_kerosene</t>
  </si>
  <si>
    <t>frac_inen_energy_rubber_and_leather_natural_gas</t>
  </si>
  <si>
    <t>frac_inen_energy_rubber_and_leather_oil</t>
  </si>
  <si>
    <t>frac_inen_energy_rubber_and_leather_solar</t>
  </si>
  <si>
    <t>frac_inen_energy_rubber_and_leather_solid_biomass</t>
  </si>
  <si>
    <t>frac_inen_energy_textiles_coal</t>
  </si>
  <si>
    <t>frac_inen_energy_textiles_coke</t>
  </si>
  <si>
    <t>frac_inen_energy_textiles_diesel</t>
  </si>
  <si>
    <t>frac_inen_energy_textiles_electricity</t>
  </si>
  <si>
    <t>frac_inen_energy_textiles_furnace_gas</t>
  </si>
  <si>
    <t>frac_inen_energy_textiles_gasoline</t>
  </si>
  <si>
    <t>frac_inen_energy_textiles_hydrocarbon_gas_liquids</t>
  </si>
  <si>
    <t>frac_inen_energy_textiles_hydrogen</t>
  </si>
  <si>
    <t>frac_inen_energy_textiles_kerosene</t>
  </si>
  <si>
    <t>frac_inen_energy_textiles_natural_gas</t>
  </si>
  <si>
    <t>frac_inen_energy_textiles_oil</t>
  </si>
  <si>
    <t>frac_inen_energy_textiles_solar</t>
  </si>
  <si>
    <t>frac_inen_energy_textiles_solid_biomass</t>
  </si>
  <si>
    <t>frac_inen_energy_wood_coal</t>
  </si>
  <si>
    <t>frac_inen_energy_wood_coke</t>
  </si>
  <si>
    <t>frac_inen_energy_wood_diesel</t>
  </si>
  <si>
    <t>frac_inen_energy_wood_electricity</t>
  </si>
  <si>
    <t>frac_inen_energy_wood_furnace_gas</t>
  </si>
  <si>
    <t>frac_inen_energy_wood_gasoline</t>
  </si>
  <si>
    <t>frac_inen_energy_wood_hydrocarbon_gas_liquids</t>
  </si>
  <si>
    <t>frac_inen_energy_wood_hydrogen</t>
  </si>
  <si>
    <t>frac_inen_energy_wood_kerosene</t>
  </si>
  <si>
    <t>frac_inen_energy_wood_natural_gas</t>
  </si>
  <si>
    <t>frac_inen_energy_wood_oil</t>
  </si>
  <si>
    <t>frac_inen_energy_wood_solar</t>
  </si>
  <si>
    <t>frac_inen_energy_wood_solid_biomass</t>
  </si>
  <si>
    <t>frac_ippu_cement_clinker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</si>
  <si>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</si>
  <si>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</si>
  <si>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</si>
  <si>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</si>
  <si>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</si>
  <si>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</si>
  <si>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frac_scoe_heat_energy_commercial_municipal_coal</t>
  </si>
  <si>
    <t>frac_scoe_heat_energy_commercial_municipal_diesel</t>
  </si>
  <si>
    <t>frac_scoe_heat_energy_commercial_municipal_electricity</t>
  </si>
  <si>
    <t>frac_scoe_heat_energy_commercial_municipal_gasoline</t>
  </si>
  <si>
    <t>frac_scoe_heat_energy_commercial_municipal_hydrocarbon_gas_liquids</t>
  </si>
  <si>
    <t>frac_scoe_heat_energy_commercial_municipal_hydrogen</t>
  </si>
  <si>
    <t>frac_scoe_heat_energy_commercial_municipal_kerosene</t>
  </si>
  <si>
    <t>frac_scoe_heat_energy_commercial_municipal_natural_gas</t>
  </si>
  <si>
    <t>frac_scoe_heat_energy_commercial_municipal_solid_biomass</t>
  </si>
  <si>
    <t>frac_scoe_heat_energy_other_se_coal</t>
  </si>
  <si>
    <t>frac_scoe_heat_energy_other_se_diesel</t>
  </si>
  <si>
    <t>frac_scoe_heat_energy_other_se_electricity</t>
  </si>
  <si>
    <t>frac_scoe_heat_energy_other_se_gasoline</t>
  </si>
  <si>
    <t>frac_scoe_heat_energy_other_se_hydrocarbon_gas_liquids</t>
  </si>
  <si>
    <t>frac_scoe_heat_energy_other_se_hydrogen</t>
  </si>
  <si>
    <t>frac_scoe_heat_energy_other_se_kerosene</t>
  </si>
  <si>
    <t>frac_scoe_heat_energy_other_se_natural_gas</t>
  </si>
  <si>
    <t>frac_scoe_heat_energy_other_se_solid_biomass</t>
  </si>
  <si>
    <t>frac_scoe_heat_energy_residential_coal</t>
  </si>
  <si>
    <t>frac_scoe_heat_energy_residential_diesel</t>
  </si>
  <si>
    <t>frac_scoe_heat_energy_residential_electricity</t>
  </si>
  <si>
    <t>frac_scoe_heat_energy_residential_gasoline</t>
  </si>
  <si>
    <t>frac_scoe_heat_energy_residential_hydrocarbon_gas_liquids</t>
  </si>
  <si>
    <t>frac_scoe_heat_energy_residential_hydrogen</t>
  </si>
  <si>
    <t>frac_scoe_heat_energy_residential_kerosene</t>
  </si>
  <si>
    <t>frac_scoe_heat_energy_residential_natural_gas</t>
  </si>
  <si>
    <t>frac_scoe_heat_energy_residential_solid_biomass</t>
  </si>
  <si>
    <t>frac_trns_fuelmix_aviation_electricity</t>
  </si>
  <si>
    <t>frac_trns_fuelmix_aviation_hydrogen</t>
  </si>
  <si>
    <t>frac_trns_fuelmix_aviation_kerosene</t>
  </si>
  <si>
    <t>frac_trns_fuelmix_powered_bikes_electricity</t>
  </si>
  <si>
    <t>frac_trns_fuelmix_powered_bikes_gasoline</t>
  </si>
  <si>
    <t>frac_trns_fuelmix_public_biofuels</t>
  </si>
  <si>
    <t>frac_trns_fuelmix_public_diesel</t>
  </si>
  <si>
    <t>frac_trns_fuelmix_public_electricity</t>
  </si>
  <si>
    <t>frac_trns_fuelmix_public_gasoline</t>
  </si>
  <si>
    <t>frac_trns_fuelmix_public_hydrocarbon_gas_liquids</t>
  </si>
  <si>
    <t>frac_trns_fuelmix_public_hydrogen</t>
  </si>
  <si>
    <t>frac_trns_fuelmix_public_natural_gas</t>
  </si>
  <si>
    <t>frac_trns_fuelmix_rail_freight_diesel</t>
  </si>
  <si>
    <t>frac_trns_fuelmix_rail_freight_electricity</t>
  </si>
  <si>
    <t>frac_trns_fuelmix_rail_freight_hydrogen</t>
  </si>
  <si>
    <t>frac_trns_fuelmix_rail_freight_natural_gas</t>
  </si>
  <si>
    <t>frac_trns_fuelmix_rail_passenger_diesel</t>
  </si>
  <si>
    <t>frac_trns_fuelmix_rail_passenger_electricity</t>
  </si>
  <si>
    <t>frac_trns_fuelmix_rail_passenger_hydrogen</t>
  </si>
  <si>
    <t>frac_trns_fuelmix_rail_passenger_natural_gas</t>
  </si>
  <si>
    <t>frac_trns_fuelmix_road_heavy_freight_biofuels</t>
  </si>
  <si>
    <t>frac_trns_fuelmix_road_heavy_freight_diesel</t>
  </si>
  <si>
    <t>frac_trns_fuelmix_road_heavy_freight_electricity</t>
  </si>
  <si>
    <t>frac_trns_fuelmix_road_heavy_freight_gasoline</t>
  </si>
  <si>
    <t>frac_trns_fuelmix_road_heavy_freight_hydrocarbon_gas_liquids</t>
  </si>
  <si>
    <t>frac_trns_fuelmix_road_heavy_freight_hydrogen</t>
  </si>
  <si>
    <t>frac_trns_fuelmix_road_heavy_freight_natural_gas</t>
  </si>
  <si>
    <t>frac_trns_fuelmix_road_heavy_regional_biofuels</t>
  </si>
  <si>
    <t>frac_trns_fuelmix_road_heavy_regional_diesel</t>
  </si>
  <si>
    <t>frac_trns_fuelmix_road_heavy_regional_electricity</t>
  </si>
  <si>
    <t>frac_trns_fuelmix_road_heavy_regional_gasoline</t>
  </si>
  <si>
    <t>frac_trns_fuelmix_road_heavy_regional_hydrocarbon_gas_liquids</t>
  </si>
  <si>
    <t>frac_trns_fuelmix_road_heavy_regional_hydrogen</t>
  </si>
  <si>
    <t>frac_trns_fuelmix_road_heavy_regional_natural_gas</t>
  </si>
  <si>
    <t>frac_trns_fuelmix_road_light_biofuels</t>
  </si>
  <si>
    <t>frac_trns_fuelmix_road_light_diesel</t>
  </si>
  <si>
    <t>frac_trns_fuelmix_road_light_electricity</t>
  </si>
  <si>
    <t>frac_trns_fuelmix_road_light_gasoline</t>
  </si>
  <si>
    <t>frac_trns_fuelmix_road_light_hydrocarbon_gas_liquids</t>
  </si>
  <si>
    <t>frac_trns_fuelmix_road_light_hydrogen</t>
  </si>
  <si>
    <t>frac_trns_fuelmix_water_borne_diesel</t>
  </si>
  <si>
    <t>frac_trns_fuelmix_water_borne_electricity</t>
  </si>
  <si>
    <t>frac_trns_fuelmix_water_borne_hydrogen</t>
  </si>
  <si>
    <t>frac_trns_fuelmix_water_borne_natural_gas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</si>
  <si>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</si>
  <si>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</si>
  <si>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</si>
  <si>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</si>
  <si>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</si>
  <si>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</si>
  <si>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</si>
  <si>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</si>
  <si>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frac_trns_pkm_dem_private_and_public_water_borne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</si>
  <si>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</si>
  <si>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</si>
  <si>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</si>
  <si>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</si>
  <si>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frac_trns_pkm_dem_regional_water_borne</t>
  </si>
  <si>
    <t>fuelefficiency_trns_aviation_hydrogen_km_per_litre</t>
  </si>
  <si>
    <t>fuelefficiency_trns_aviation_kerosene_km_per_litre</t>
  </si>
  <si>
    <t>fuelefficiency_trns_powered_bikes_gasoline_km_per_litre</t>
  </si>
  <si>
    <t>fuelefficiency_trns_public_biofuels_km_per_litre</t>
  </si>
  <si>
    <t>fuelefficiency_trns_public_diesel_km_per_litre</t>
  </si>
  <si>
    <t>fuelefficiency_trns_public_gasoline_km_per_litre</t>
  </si>
  <si>
    <t>fuelefficiency_trns_public_hydrocarbon_gas_liquids_km_per_litre</t>
  </si>
  <si>
    <t>fuelefficiency_trns_public_hydrogen_km_per_litre</t>
  </si>
  <si>
    <t>fuelefficiency_trns_public_natural_gas_km_per_litre</t>
  </si>
  <si>
    <t>fuelefficiency_trns_rail_freight_diesel_km_per_litre</t>
  </si>
  <si>
    <t>fuelefficiency_trns_rail_freight_hydrogen_km_per_litre</t>
  </si>
  <si>
    <t>fuelefficiency_trns_rail_freight_natural_gas_km_per_litre</t>
  </si>
  <si>
    <t>fuelefficiency_trns_rail_passenger_diesel_km_per_litre</t>
  </si>
  <si>
    <t>fuelefficiency_trns_rail_passenger_hydrogen_km_per_litre</t>
  </si>
  <si>
    <t>fuelefficiency_trns_rail_passenger_natural_gas_km_per_litre</t>
  </si>
  <si>
    <t>fuelefficiency_trns_road_heavy_freight_biofuels_km_per_litre</t>
  </si>
  <si>
    <t>fuelefficiency_trns_road_heavy_freight_diesel_km_per_litre</t>
  </si>
  <si>
    <t>fuelefficiency_trns_road_heavy_freight_gasoline_km_per_litre</t>
  </si>
  <si>
    <t>fuelefficiency_trns_road_heavy_freight_hydrocarbon_gas_liquids_km_per_litre</t>
  </si>
  <si>
    <t>fuelefficiency_trns_road_heavy_freight_hydrogen_km_per_litre</t>
  </si>
  <si>
    <t>fuelefficiency_trns_road_heavy_freight_natural_gas_km_per_litre</t>
  </si>
  <si>
    <t>fuelefficiency_trns_road_heavy_regional_biofuels_km_per_litre</t>
  </si>
  <si>
    <t>fuelefficiency_trns_road_heavy_regional_diesel_km_per_litre</t>
  </si>
  <si>
    <t>fuelefficiency_trns_road_heavy_regional_gasoline_km_per_litre</t>
  </si>
  <si>
    <t>fuelefficiency_trns_road_heavy_regional_hydrocarbon_gas_liquids_km_per_litre</t>
  </si>
  <si>
    <t>fuelefficiency_trns_road_heavy_regional_hydrogen_km_per_litre</t>
  </si>
  <si>
    <t>fuelefficiency_trns_road_heavy_regional_natural_gas_km_per_litre</t>
  </si>
  <si>
    <t>fuelefficiency_trns_road_light_biofuels_km_per_litre</t>
  </si>
  <si>
    <t>fuelefficiency_trns_road_light_diesel_km_per_litre</t>
  </si>
  <si>
    <t>fuelefficiency_trns_road_light_gasoline_km_per_litre</t>
  </si>
  <si>
    <t>fuelefficiency_trns_road_light_hydrocarbon_gas_liquids_km_per_litre</t>
  </si>
  <si>
    <t>fuelefficiency_trns_road_light_hydrogen_km_per_litre</t>
  </si>
  <si>
    <t>fuelefficiency_trns_water_borne_diesel_km_per_litre</t>
  </si>
  <si>
    <t>fuelefficiency_trns_water_borne_hydrogen_km_per_litre</t>
  </si>
  <si>
    <t>fuelefficiency_trns_water_borne_natural_gas_km_per_litre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</si>
  <si>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</si>
  <si>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</si>
  <si>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</si>
  <si>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</si>
  <si>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</si>
  <si>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</si>
  <si>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gdp_mmm_usd</t>
  </si>
  <si>
    <t>limit_gnrl_annual_emissions_mt_ch4</t>
  </si>
  <si>
    <t>limit_gnrl_annual_emissions_mt_co2</t>
  </si>
  <si>
    <t>limit_gnrl_annual_emissions_mt_n2o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</si>
  <si>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</si>
  <si>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</si>
  <si>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</si>
  <si>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</si>
  <si>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nemomod_enfu_renewable_energy_minimum_production_target_fuel_electricity</t>
  </si>
  <si>
    <t>nemomod_enst_capital_cost_st_batteries_usd_per_kwh</t>
  </si>
  <si>
    <t>nemomod_enst_capital_cost_st_compressed_air_usd_per_kwh</t>
  </si>
  <si>
    <t>nemomod_enst_capital_cost_st_flywheels_usd_per_kwh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</si>
  <si>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</si>
  <si>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</si>
  <si>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</si>
  <si>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</si>
  <si>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</si>
  <si>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</si>
  <si>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</si>
  <si>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</si>
  <si>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</si>
  <si>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</si>
  <si>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</si>
  <si>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</si>
  <si>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</si>
  <si>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</si>
  <si>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</si>
  <si>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</si>
  <si>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</si>
  <si>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</si>
  <si>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</si>
  <si>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</si>
  <si>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</si>
  <si>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</si>
  <si>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</si>
  <si>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</si>
  <si>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</si>
  <si>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nemomod_entc_capital_cost_fp_hydrogen_electrolysis_mm_usd_per_gw</t>
  </si>
  <si>
    <t>nemomod_entc_capital_cost_fp_hydrogen_gasification_mm_usd_per_gw</t>
  </si>
  <si>
    <t>nemomod_entc_capital_cost_fp_hydrogen_reformation_mm_usd_per_gw</t>
  </si>
  <si>
    <t>nemomod_entc_capital_cost_pp_biogas_mm_usd_per_gw</t>
  </si>
  <si>
    <t>nemomod_entc_capital_cost_pp_biomass_mm_usd_per_gw</t>
  </si>
  <si>
    <t>nemomod_entc_capital_cost_pp_coal_ccs_mm_usd_per_gw</t>
  </si>
  <si>
    <t>nemomod_entc_capital_cost_pp_coal_mm_usd_per_gw</t>
  </si>
  <si>
    <t>nemomod_entc_capital_cost_pp_gas_ccs_mm_usd_per_gw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</si>
  <si>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</si>
  <si>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</si>
  <si>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</si>
  <si>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</si>
  <si>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</si>
  <si>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</si>
  <si>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</si>
  <si>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</si>
  <si>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</si>
  <si>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nemomod_entc_emissions_activity_ratio_fuel_production_fp_hydrogen_gasification_tonne_co2_per_tj</t>
  </si>
  <si>
    <t>nemomod_entc_emissions_activity_ratio_fuel_production_fp_hydrogen_reformation_tonne_co2_per_tj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</si>
  <si>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</si>
  <si>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</si>
  <si>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</si>
  <si>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</si>
  <si>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</si>
  <si>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</si>
  <si>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</si>
  <si>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</si>
  <si>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</si>
  <si>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</si>
  <si>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</si>
  <si>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</si>
  <si>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</si>
  <si>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</si>
  <si>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</si>
  <si>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</si>
  <si>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</si>
  <si>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</si>
  <si>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</si>
  <si>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</si>
  <si>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</si>
  <si>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</si>
  <si>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</si>
  <si>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</si>
  <si>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</si>
  <si>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</si>
  <si>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</si>
  <si>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</si>
  <si>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</si>
  <si>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</si>
  <si>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</si>
  <si>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</si>
  <si>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</si>
  <si>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</si>
  <si>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</si>
  <si>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</si>
  <si>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</si>
  <si>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</si>
  <si>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</si>
  <si>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</si>
  <si>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</si>
  <si>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</si>
  <si>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</si>
  <si>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</si>
  <si>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</si>
  <si>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</si>
  <si>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</si>
  <si>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</si>
  <si>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nemomod_entc_fixed_cost_fp_hydrogen_electrolysis_mm_usd_per_gw</t>
  </si>
  <si>
    <t>nemomod_entc_fixed_cost_fp_hydrogen_gasification_mm_usd_per_gw</t>
  </si>
  <si>
    <t>nemomod_entc_fixed_cost_fp_hydrogen_reformation_mm_usd_per_gw</t>
  </si>
  <si>
    <t>nemomod_entc_fixed_cost_pp_biogas_mm_usd_per_gw</t>
  </si>
  <si>
    <t>nemomod_entc_fixed_cost_pp_biomass_mm_usd_per_gw</t>
  </si>
  <si>
    <t>nemomod_entc_fixed_cost_pp_coal_ccs_mm_usd_per_gw</t>
  </si>
  <si>
    <t>nemomod_entc_fixed_cost_pp_coal_mm_usd_per_gw</t>
  </si>
  <si>
    <t>nemomod_entc_fixed_cost_pp_gas_ccs_mm_usd_per_gw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</si>
  <si>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</si>
  <si>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</si>
  <si>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</si>
  <si>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</si>
  <si>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</si>
  <si>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</si>
  <si>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</si>
  <si>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</si>
  <si>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</si>
  <si>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</si>
  <si>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</si>
  <si>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</si>
  <si>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nemomod_entc_frac_min_share_production_pp_biogas</t>
  </si>
  <si>
    <t>nemomod_entc_frac_min_share_production_pp_biomass</t>
  </si>
  <si>
    <t>nemomod_entc_frac_min_share_production_pp_coal</t>
  </si>
  <si>
    <t>nemomod_entc_frac_min_share_production_pp_coal_ccs</t>
  </si>
  <si>
    <t>nemomod_entc_frac_min_share_production_pp_gas</t>
  </si>
  <si>
    <t>nemomod_entc_frac_min_share_production_pp_gas_ccs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</si>
  <si>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</si>
  <si>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</si>
  <si>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</si>
  <si>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</si>
  <si>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</si>
  <si>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</si>
  <si>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nemomod_entc_frac_min_share_production_pp_waste_incineration</t>
  </si>
  <si>
    <t>nemomod_entc_frac_min_share_production_pp_wind</t>
  </si>
  <si>
    <t>nemomod_entc_input_activity_ratio_fuel_production_fp_hydrogen_electrolysis_electricity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</si>
  <si>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</si>
  <si>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</si>
  <si>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</si>
  <si>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</si>
  <si>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</si>
  <si>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</si>
  <si>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</si>
  <si>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</si>
  <si>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</si>
  <si>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</si>
  <si>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</si>
  <si>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</si>
  <si>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</si>
  <si>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</si>
  <si>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</si>
  <si>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</si>
  <si>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</si>
  <si>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</si>
  <si>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</si>
  <si>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</si>
  <si>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</si>
  <si>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</si>
  <si>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</si>
  <si>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</si>
  <si>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</si>
  <si>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</si>
  <si>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</si>
  <si>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</si>
  <si>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</si>
  <si>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</si>
  <si>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</si>
  <si>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</si>
  <si>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</si>
  <si>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</si>
  <si>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</si>
  <si>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</si>
  <si>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</si>
  <si>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</si>
  <si>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</si>
  <si>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</si>
  <si>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</si>
  <si>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</si>
  <si>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</si>
  <si>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</si>
  <si>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</si>
  <si>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</si>
  <si>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</si>
  <si>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</si>
  <si>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</si>
  <si>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</si>
  <si>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</si>
  <si>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</si>
  <si>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</si>
  <si>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</si>
  <si>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</si>
  <si>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</si>
  <si>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</si>
  <si>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</si>
  <si>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</si>
  <si>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</si>
  <si>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</si>
  <si>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</si>
  <si>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</si>
  <si>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</si>
  <si>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</si>
  <si>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</si>
  <si>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</si>
  <si>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</si>
  <si>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</si>
  <si>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</si>
  <si>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</si>
  <si>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</si>
  <si>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</si>
  <si>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</si>
  <si>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</si>
  <si>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</si>
  <si>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nemomod_entc_residual_capacity_pp_biogas_gw</t>
  </si>
  <si>
    <t>nemomod_entc_residual_capacity_pp_biomass_gw</t>
  </si>
  <si>
    <t>nemomod_entc_residual_capacity_pp_coal_ccs_gw</t>
  </si>
  <si>
    <t>nemomod_entc_residual_capacity_pp_coal_gw</t>
  </si>
  <si>
    <t>nemomod_entc_residual_capacity_pp_gas_ccs_gw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</si>
  <si>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</si>
  <si>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</si>
  <si>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</si>
  <si>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</si>
  <si>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</si>
  <si>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</si>
  <si>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</si>
  <si>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</si>
  <si>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</si>
  <si>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</si>
  <si>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</si>
  <si>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</si>
  <si>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</si>
  <si>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</si>
  <si>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</si>
  <si>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</si>
  <si>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</si>
  <si>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</si>
  <si>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</si>
  <si>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</si>
  <si>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</si>
  <si>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</si>
  <si>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</si>
  <si>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</si>
  <si>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</si>
  <si>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</si>
  <si>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</si>
  <si>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</si>
  <si>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</si>
  <si>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</si>
  <si>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</si>
  <si>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</si>
  <si>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</si>
  <si>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</si>
  <si>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</si>
  <si>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</si>
  <si>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</si>
  <si>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</si>
  <si>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</si>
  <si>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</si>
  <si>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</si>
  <si>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</si>
  <si>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</si>
  <si>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</si>
  <si>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</si>
  <si>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</si>
  <si>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</si>
  <si>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</si>
  <si>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</si>
  <si>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</si>
  <si>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</si>
  <si>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</si>
  <si>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</si>
  <si>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</si>
  <si>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</si>
  <si>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</si>
  <si>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</si>
  <si>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</si>
  <si>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</si>
  <si>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</si>
  <si>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</si>
  <si>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</si>
  <si>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</si>
  <si>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</si>
  <si>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</si>
  <si>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</si>
  <si>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</si>
  <si>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</si>
  <si>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</si>
  <si>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</si>
  <si>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</si>
  <si>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</si>
  <si>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</si>
  <si>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</si>
  <si>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</si>
  <si>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</si>
  <si>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</si>
  <si>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</si>
  <si>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</si>
  <si>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</si>
  <si>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nemomod_entc_variable_cost_st_compressed_air_usd_per_mwh</t>
  </si>
  <si>
    <t>nemomod_entc_variable_cost_st_flywheels_usd_per_mwh</t>
  </si>
  <si>
    <t>nemomod_entc_variable_cost_st_pumped_hydro_usd_per_mwh</t>
  </si>
  <si>
    <t>net_imports_cement_clinker_tonne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</si>
  <si>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</si>
  <si>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</si>
  <si>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</si>
  <si>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</si>
  <si>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</si>
  <si>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</si>
  <si>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</si>
  <si>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occrate_trns_passenger_per_vehicle_water_borne</t>
  </si>
  <si>
    <t>occrateinit_gnrl_occupancy</t>
  </si>
  <si>
    <t>population_gnrl_rural</t>
  </si>
  <si>
    <t>population_gnrl_urban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</si>
  <si>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</si>
  <si>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</si>
  <si>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</si>
  <si>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</si>
  <si>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</si>
  <si>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</si>
  <si>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</si>
  <si>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</si>
  <si>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</si>
  <si>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</si>
  <si>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</si>
  <si>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</si>
  <si>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</si>
  <si>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</si>
  <si>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</si>
  <si>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prodinit_ippu_rubber_and_leather_tonne</t>
  </si>
  <si>
    <t>prodinit_ippu_textiles_tonne</t>
  </si>
  <si>
    <t>prodinit_ippu_wood_tonne</t>
  </si>
  <si>
    <t>qty_ccsq_mt_co2_captured_sequestered_by_direct_air_capture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</si>
  <si>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</si>
  <si>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</si>
  <si>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</si>
  <si>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</si>
  <si>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</si>
  <si>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</si>
  <si>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</si>
  <si>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</si>
  <si>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</si>
  <si>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</si>
  <si>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</si>
  <si>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</si>
  <si>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</si>
  <si>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</si>
  <si>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</si>
  <si>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</si>
  <si>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ratio_ippu_production_to_harvested_wood_demand_paper</t>
  </si>
  <si>
    <t>ratio_ippu_production_to_harvested_wood_demand_wood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</si>
  <si>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</si>
  <si>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</si>
  <si>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</si>
  <si>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</si>
  <si>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</si>
  <si>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</si>
  <si>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</si>
  <si>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</si>
  <si>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</si>
  <si>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</si>
  <si>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</si>
  <si>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</si>
  <si>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</si>
  <si>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</si>
  <si>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</si>
  <si>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</si>
  <si>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</si>
  <si>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</si>
  <si>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</si>
  <si>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</si>
  <si>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scalar_scoe_appliance_energy_demand_commercial_municipal</t>
  </si>
  <si>
    <t>scalar_scoe_appliance_energy_demand_other_se</t>
  </si>
  <si>
    <t>scalar_scoe_appliance_energy_demand_residential</t>
  </si>
  <si>
    <t>scalar_scoe_heat_energy_demand_commercial_municipal</t>
  </si>
  <si>
    <t>scalar_scoe_heat_energy_demand_other_se</t>
  </si>
  <si>
    <t>scalar_scoe_heat_energy_demand_residential</t>
  </si>
  <si>
    <t>timespan_ippu_average_lifetime_of_housing</t>
  </si>
  <si>
    <t>useinit_ippu_product_use_lubricants_kt</t>
  </si>
  <si>
    <t>useinit_ippu_product_use_paraffin_wax_kt</t>
  </si>
  <si>
    <t>va_commercial_mmm_usd</t>
  </si>
  <si>
    <t>va_industrial_mmm_usd</t>
  </si>
  <si>
    <t>va_manufacturing_mmm_usd</t>
  </si>
  <si>
    <t>va_mining_mmm_usd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</si>
  <si>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</si>
  <si>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</si>
  <si>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</si>
  <si>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</si>
  <si>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</si>
  <si>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</si>
  <si>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</si>
  <si>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</si>
  <si>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</si>
  <si>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</si>
  <si>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</si>
  <si>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</si>
  <si>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</si>
  <si>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</si>
  <si>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</si>
  <si>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</si>
  <si>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</si>
  <si>
    <t>LPG</t>
  </si>
  <si>
    <t>Imports</t>
  </si>
  <si>
    <t>Gassoline</t>
  </si>
  <si>
    <t>AV Gas</t>
  </si>
  <si>
    <t>Keroscene</t>
  </si>
  <si>
    <t>Jet Fuel</t>
  </si>
  <si>
    <t>Diesel</t>
  </si>
  <si>
    <t>F Oil</t>
  </si>
  <si>
    <t>Crude</t>
  </si>
  <si>
    <t>Coal</t>
  </si>
  <si>
    <t>tr</t>
  </si>
  <si>
    <t>ai</t>
  </si>
  <si>
    <t>lorry</t>
  </si>
  <si>
    <t>passe tra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</si>
</sst>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11" fontId="0" fillId="34" borderId="0" xfId="0" applyNumberFormat="1" applyFill="1"/>
    <xf numFmtId="0" fontId="0" fillId="38" borderId="0" xfId="0" applyFill="1"/>
    <xf numFmtId="0" fontId="0" fillId="39" borderId="0" xfId="0" applyFill="1"/>
    <xf numFmtId="2" fontId="0" fillId="34" borderId="0" xfId="0" applyNumberFormat="1" applyFill="1"/>
    <xf numFmtId="0" fontId="0" fillId="40" borderId="0" xfId="0" applyFill="1"/>
    <xf numFmtId="0" fontId="0" fillId="41" borderId="0" xfId="0" applyFill="1"/>
    <xf numFmtId="20" fontId="0" fillId="0" borderId="0" xfId="0" applyNumberFormat="1"/>
    <xf numFmtId="0" fontId="0" fillId="0" borderId="0" xfId="0" applyFill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2D2E-989E-4B4C-936C-E0CA7D929764}">
  <dimension ref="A1:AXB47"/>
  <sheetViews>
    <sheetView tabSelected="1" topLeftCell="AWO1" workbookViewId="0">
      <selection activeCell="AXC11" sqref="AXC11"/>
    </sheetView>
  </sheetViews>
  <sheetFormatPr defaultRowHeight="14.4" x14ac:dyDescent="0.3"/>
  <cols>
    <col min="1214" max="1214" width="10.88671875" bestFit="1" customWidth="1"/>
  </cols>
  <sheetData>
    <row r="1" spans="1:130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" t="s">
        <v>22</v>
      </c>
      <c r="X1" t="s">
        <v>23</v>
      </c>
      <c r="Y1" t="s">
        <v>24</v>
      </c>
      <c r="Z1" t="s">
        <v>25</v>
      </c>
      <c r="AA1" t="s">
        <v>26</v>
      </c>
      <c r="AB1" s="5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2" t="s">
        <v>33</v>
      </c>
      <c r="AI1" s="2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39</v>
      </c>
      <c r="AO1" s="2" t="s">
        <v>40</v>
      </c>
      <c r="AP1" t="s">
        <v>41</v>
      </c>
      <c r="AQ1" t="s">
        <v>42</v>
      </c>
      <c r="AR1" s="5" t="s">
        <v>43</v>
      </c>
      <c r="AS1" s="2" t="s">
        <v>44</v>
      </c>
      <c r="AT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t="s">
        <v>50</v>
      </c>
      <c r="AZ1" s="2" t="s">
        <v>51</v>
      </c>
      <c r="BA1" s="2" t="s">
        <v>52</v>
      </c>
      <c r="BB1" t="s">
        <v>53</v>
      </c>
      <c r="BC1" s="2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2" t="s">
        <v>61</v>
      </c>
      <c r="BK1" t="s">
        <v>62</v>
      </c>
      <c r="BL1" s="2" t="s">
        <v>63</v>
      </c>
      <c r="BM1" t="s">
        <v>64</v>
      </c>
      <c r="BN1" s="2" t="s">
        <v>65</v>
      </c>
      <c r="BO1" t="s">
        <v>66</v>
      </c>
      <c r="BP1" s="2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s="2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s="2" t="s">
        <v>90</v>
      </c>
      <c r="CN1" t="s">
        <v>91</v>
      </c>
      <c r="CO1" t="s">
        <v>92</v>
      </c>
      <c r="CP1" t="s">
        <v>93</v>
      </c>
      <c r="CQ1" s="2" t="s">
        <v>94</v>
      </c>
      <c r="CR1" s="2" t="s">
        <v>95</v>
      </c>
      <c r="CS1" t="s">
        <v>96</v>
      </c>
      <c r="CT1" t="s">
        <v>97</v>
      </c>
      <c r="CU1" s="2" t="s">
        <v>98</v>
      </c>
      <c r="CV1" s="2" t="s">
        <v>99</v>
      </c>
      <c r="CW1" t="s">
        <v>100</v>
      </c>
      <c r="CX1" s="2" t="s">
        <v>101</v>
      </c>
      <c r="CY1" s="2" t="s">
        <v>102</v>
      </c>
      <c r="CZ1" s="2" t="s">
        <v>103</v>
      </c>
      <c r="DA1" t="s">
        <v>104</v>
      </c>
      <c r="DB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s="2" t="s">
        <v>115</v>
      </c>
      <c r="DM1" t="s">
        <v>116</v>
      </c>
      <c r="DN1" t="s">
        <v>117</v>
      </c>
      <c r="DO1" t="s">
        <v>118</v>
      </c>
      <c r="DP1" s="2" t="s">
        <v>119</v>
      </c>
      <c r="DQ1" s="2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s="2" t="s">
        <v>126</v>
      </c>
      <c r="DX1" s="2" t="s">
        <v>127</v>
      </c>
      <c r="DY1" s="2" t="s">
        <v>128</v>
      </c>
      <c r="DZ1" t="s">
        <v>129</v>
      </c>
      <c r="EA1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s="2" t="s">
        <v>140</v>
      </c>
      <c r="EL1" t="s">
        <v>141</v>
      </c>
      <c r="EM1" t="s">
        <v>142</v>
      </c>
      <c r="EN1" t="s">
        <v>143</v>
      </c>
      <c r="EO1" t="s">
        <v>144</v>
      </c>
      <c r="EP1" s="2" t="s">
        <v>145</v>
      </c>
      <c r="EQ1" s="2" t="s">
        <v>146</v>
      </c>
      <c r="ER1" t="s">
        <v>147</v>
      </c>
      <c r="ES1" t="s">
        <v>148</v>
      </c>
      <c r="ET1" t="s">
        <v>149</v>
      </c>
      <c r="EU1" t="s">
        <v>150</v>
      </c>
      <c r="EV1" s="2" t="s">
        <v>151</v>
      </c>
      <c r="EW1" s="2" t="s">
        <v>152</v>
      </c>
      <c r="EX1" s="2" t="s">
        <v>153</v>
      </c>
      <c r="EY1" t="s">
        <v>154</v>
      </c>
      <c r="EZ1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s="2" t="s">
        <v>165</v>
      </c>
      <c r="FK1" s="2" t="s">
        <v>166</v>
      </c>
      <c r="FL1" s="2" t="s">
        <v>167</v>
      </c>
      <c r="FM1" t="s">
        <v>168</v>
      </c>
      <c r="FN1" s="2" t="s">
        <v>169</v>
      </c>
      <c r="FO1" t="s">
        <v>170</v>
      </c>
      <c r="FP1" t="s">
        <v>171</v>
      </c>
      <c r="FQ1" s="2" t="s">
        <v>172</v>
      </c>
      <c r="FR1" t="s">
        <v>173</v>
      </c>
      <c r="FS1" s="2" t="s">
        <v>174</v>
      </c>
      <c r="FT1" t="s">
        <v>175</v>
      </c>
      <c r="FU1" s="2" t="s">
        <v>176</v>
      </c>
      <c r="FV1" t="s">
        <v>177</v>
      </c>
      <c r="FW1" t="s">
        <v>178</v>
      </c>
      <c r="FX1" s="2" t="s">
        <v>179</v>
      </c>
      <c r="FY1" t="s">
        <v>180</v>
      </c>
      <c r="FZ1" t="s">
        <v>181</v>
      </c>
      <c r="GA1" s="2" t="s">
        <v>182</v>
      </c>
      <c r="GB1" t="s">
        <v>183</v>
      </c>
      <c r="GC1" t="s">
        <v>184</v>
      </c>
      <c r="GD1" s="2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s="2" t="s">
        <v>193</v>
      </c>
      <c r="GM1" t="s">
        <v>194</v>
      </c>
      <c r="GN1" s="2" t="s">
        <v>195</v>
      </c>
      <c r="GO1" t="s">
        <v>196</v>
      </c>
      <c r="GP1" t="s">
        <v>197</v>
      </c>
      <c r="GQ1" s="2" t="s">
        <v>198</v>
      </c>
      <c r="GR1" t="s">
        <v>199</v>
      </c>
      <c r="GS1" t="s">
        <v>200</v>
      </c>
      <c r="GT1" s="2" t="s">
        <v>201</v>
      </c>
      <c r="GU1" s="2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s="2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s="2" t="s">
        <v>281</v>
      </c>
      <c r="JW1" t="s">
        <v>282</v>
      </c>
      <c r="JX1" t="s">
        <v>283</v>
      </c>
      <c r="JY1" t="s">
        <v>284</v>
      </c>
      <c r="JZ1" t="s">
        <v>285</v>
      </c>
      <c r="KA1" s="2" t="s">
        <v>286</v>
      </c>
      <c r="KB1" t="s">
        <v>287</v>
      </c>
      <c r="KC1" s="2" t="s">
        <v>288</v>
      </c>
      <c r="KD1" t="s">
        <v>289</v>
      </c>
      <c r="KE1" s="2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s="2" t="s">
        <v>309</v>
      </c>
      <c r="KY1" s="2" t="s">
        <v>310</v>
      </c>
      <c r="KZ1" t="s">
        <v>311</v>
      </c>
      <c r="LA1" t="s">
        <v>312</v>
      </c>
      <c r="LB1" t="s">
        <v>313</v>
      </c>
      <c r="LC1" s="2" t="s">
        <v>314</v>
      </c>
      <c r="LD1" s="2" t="s">
        <v>315</v>
      </c>
      <c r="LE1" t="s">
        <v>316</v>
      </c>
      <c r="LF1" t="s">
        <v>317</v>
      </c>
      <c r="LG1" t="s">
        <v>318</v>
      </c>
      <c r="LH1" s="2" t="s">
        <v>319</v>
      </c>
      <c r="LI1" t="s">
        <v>320</v>
      </c>
      <c r="LJ1" t="s">
        <v>321</v>
      </c>
      <c r="LK1" t="s">
        <v>322</v>
      </c>
      <c r="LL1" t="s">
        <v>323</v>
      </c>
      <c r="LM1" s="2" t="s">
        <v>324</v>
      </c>
      <c r="LN1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t="s">
        <v>330</v>
      </c>
      <c r="LT1" t="s">
        <v>331</v>
      </c>
      <c r="LU1" s="2" t="s">
        <v>332</v>
      </c>
      <c r="LV1" t="s">
        <v>333</v>
      </c>
      <c r="LW1" t="s">
        <v>334</v>
      </c>
      <c r="LX1" t="s">
        <v>335</v>
      </c>
      <c r="LY1" t="s">
        <v>336</v>
      </c>
      <c r="LZ1" s="2" t="s">
        <v>337</v>
      </c>
      <c r="MA1" s="2" t="s">
        <v>338</v>
      </c>
      <c r="MB1" t="s">
        <v>339</v>
      </c>
      <c r="MC1" s="2" t="s">
        <v>340</v>
      </c>
      <c r="MD1" t="s">
        <v>341</v>
      </c>
      <c r="ME1" s="5" t="s">
        <v>342</v>
      </c>
      <c r="MF1" s="2" t="s">
        <v>343</v>
      </c>
      <c r="MG1" t="s">
        <v>344</v>
      </c>
      <c r="MH1" t="s">
        <v>345</v>
      </c>
      <c r="MI1" s="2" t="s">
        <v>346</v>
      </c>
      <c r="MJ1" t="s">
        <v>347</v>
      </c>
      <c r="MK1" s="2" t="s">
        <v>348</v>
      </c>
      <c r="ML1" s="2" t="s">
        <v>349</v>
      </c>
      <c r="MM1" t="s">
        <v>350</v>
      </c>
      <c r="MN1" s="2" t="s">
        <v>351</v>
      </c>
      <c r="MO1" s="2" t="s">
        <v>352</v>
      </c>
      <c r="MP1" t="s">
        <v>353</v>
      </c>
      <c r="MQ1" t="s">
        <v>354</v>
      </c>
      <c r="MR1" t="s">
        <v>355</v>
      </c>
      <c r="MS1" t="s">
        <v>356</v>
      </c>
      <c r="MT1" s="2" t="s">
        <v>357</v>
      </c>
      <c r="MU1" s="2" t="s">
        <v>358</v>
      </c>
      <c r="MV1" t="s">
        <v>359</v>
      </c>
      <c r="MW1" s="2" t="s">
        <v>360</v>
      </c>
      <c r="MX1" t="s">
        <v>361</v>
      </c>
      <c r="MY1" t="s">
        <v>362</v>
      </c>
      <c r="MZ1" s="5" t="s">
        <v>363</v>
      </c>
      <c r="NA1" t="s">
        <v>364</v>
      </c>
      <c r="NB1" s="2" t="s">
        <v>365</v>
      </c>
      <c r="NC1" s="2" t="s">
        <v>366</v>
      </c>
      <c r="ND1" t="s">
        <v>367</v>
      </c>
      <c r="NE1" s="2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s="2" t="s">
        <v>374</v>
      </c>
      <c r="NL1" t="s">
        <v>375</v>
      </c>
      <c r="NM1" t="s">
        <v>376</v>
      </c>
      <c r="NN1" s="2" t="s">
        <v>377</v>
      </c>
      <c r="NO1" t="s">
        <v>378</v>
      </c>
      <c r="NP1" t="s">
        <v>379</v>
      </c>
      <c r="NQ1" t="s">
        <v>380</v>
      </c>
      <c r="NR1" t="s">
        <v>381</v>
      </c>
      <c r="NS1" s="9" t="s">
        <v>382</v>
      </c>
      <c r="NT1" s="2" t="s">
        <v>383</v>
      </c>
      <c r="NU1" s="2" t="s">
        <v>384</v>
      </c>
      <c r="NV1" t="s">
        <v>385</v>
      </c>
      <c r="NW1" s="2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s="2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s="2" t="s">
        <v>424</v>
      </c>
      <c r="PJ1" s="2" t="s">
        <v>425</v>
      </c>
      <c r="PK1" t="s">
        <v>426</v>
      </c>
      <c r="PL1" t="s">
        <v>427</v>
      </c>
      <c r="PM1" t="s">
        <v>428</v>
      </c>
      <c r="PN1" s="2" t="s">
        <v>429</v>
      </c>
      <c r="PO1" t="s">
        <v>430</v>
      </c>
      <c r="PP1" t="s">
        <v>431</v>
      </c>
      <c r="PQ1" s="2" t="s">
        <v>432</v>
      </c>
      <c r="PR1" t="s">
        <v>433</v>
      </c>
      <c r="PS1" t="s">
        <v>434</v>
      </c>
      <c r="PT1" s="2" t="s">
        <v>435</v>
      </c>
      <c r="PU1" t="s">
        <v>436</v>
      </c>
      <c r="PV1" s="2" t="s">
        <v>437</v>
      </c>
      <c r="PW1" t="s">
        <v>438</v>
      </c>
      <c r="PX1" t="s">
        <v>439</v>
      </c>
      <c r="PY1" t="s">
        <v>440</v>
      </c>
      <c r="PZ1" t="s">
        <v>441</v>
      </c>
      <c r="QA1" s="2" t="s">
        <v>442</v>
      </c>
      <c r="QB1" t="s">
        <v>443</v>
      </c>
      <c r="QC1" s="2" t="s">
        <v>444</v>
      </c>
      <c r="QD1" s="2" t="s">
        <v>445</v>
      </c>
      <c r="QE1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t="s">
        <v>462</v>
      </c>
      <c r="QV1" t="s">
        <v>463</v>
      </c>
      <c r="QW1" t="s">
        <v>464</v>
      </c>
      <c r="QX1" s="2" t="s">
        <v>465</v>
      </c>
      <c r="QY1" t="s">
        <v>466</v>
      </c>
      <c r="QZ1" s="2" t="s">
        <v>467</v>
      </c>
      <c r="RA1" s="2" t="s">
        <v>468</v>
      </c>
      <c r="RB1" t="s">
        <v>469</v>
      </c>
      <c r="RC1" s="2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s="5" t="s">
        <v>492</v>
      </c>
      <c r="RZ1" t="s">
        <v>493</v>
      </c>
      <c r="SA1" s="2" t="s">
        <v>494</v>
      </c>
      <c r="SB1" t="s">
        <v>495</v>
      </c>
      <c r="SC1" t="s">
        <v>496</v>
      </c>
      <c r="SD1" t="s">
        <v>497</v>
      </c>
      <c r="SE1" t="s">
        <v>498</v>
      </c>
      <c r="SF1" s="2" t="s">
        <v>499</v>
      </c>
      <c r="SG1" s="2" t="s">
        <v>500</v>
      </c>
      <c r="SH1" t="s">
        <v>501</v>
      </c>
      <c r="SI1" s="2" t="s">
        <v>502</v>
      </c>
      <c r="SJ1" t="s">
        <v>503</v>
      </c>
      <c r="SK1" t="s">
        <v>504</v>
      </c>
      <c r="SL1" t="s">
        <v>505</v>
      </c>
      <c r="SM1" t="s">
        <v>506</v>
      </c>
      <c r="SN1" s="2" t="s">
        <v>507</v>
      </c>
      <c r="SO1" t="s">
        <v>508</v>
      </c>
      <c r="SP1" t="s">
        <v>509</v>
      </c>
      <c r="SQ1" s="2" t="s">
        <v>510</v>
      </c>
      <c r="SR1" t="s">
        <v>511</v>
      </c>
      <c r="SS1" s="2" t="s">
        <v>512</v>
      </c>
      <c r="ST1" s="2" t="s">
        <v>513</v>
      </c>
      <c r="SU1" t="s">
        <v>514</v>
      </c>
      <c r="SV1" s="2" t="s">
        <v>515</v>
      </c>
      <c r="SW1" t="s">
        <v>516</v>
      </c>
      <c r="SX1" t="s">
        <v>517</v>
      </c>
      <c r="SY1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11" t="s">
        <v>532</v>
      </c>
      <c r="TN1" s="11" t="s">
        <v>533</v>
      </c>
      <c r="TO1" s="11" t="s">
        <v>534</v>
      </c>
      <c r="TP1" s="11" t="s">
        <v>535</v>
      </c>
      <c r="TQ1" s="11" t="s">
        <v>536</v>
      </c>
      <c r="TR1" s="11" t="s">
        <v>537</v>
      </c>
      <c r="TS1" s="11" t="s">
        <v>538</v>
      </c>
      <c r="TT1" s="11" t="s">
        <v>539</v>
      </c>
      <c r="TU1" s="11" t="s">
        <v>540</v>
      </c>
      <c r="TV1" s="11" t="s">
        <v>541</v>
      </c>
      <c r="TW1" s="11" t="s">
        <v>542</v>
      </c>
      <c r="TX1" s="11" t="s">
        <v>543</v>
      </c>
      <c r="TY1" s="11" t="s">
        <v>544</v>
      </c>
      <c r="TZ1" t="s">
        <v>545</v>
      </c>
      <c r="UA1" s="2" t="s">
        <v>546</v>
      </c>
      <c r="UB1" t="s">
        <v>547</v>
      </c>
      <c r="UC1" t="s">
        <v>548</v>
      </c>
      <c r="UD1" s="2" t="s">
        <v>549</v>
      </c>
      <c r="UE1" t="s">
        <v>550</v>
      </c>
      <c r="UF1" s="2" t="s">
        <v>551</v>
      </c>
      <c r="UG1" s="2" t="s">
        <v>552</v>
      </c>
      <c r="UH1" t="s">
        <v>553</v>
      </c>
      <c r="UI1" s="2" t="s">
        <v>554</v>
      </c>
      <c r="UJ1" t="s">
        <v>555</v>
      </c>
      <c r="UK1" t="s">
        <v>556</v>
      </c>
      <c r="UL1" t="s">
        <v>557</v>
      </c>
      <c r="UM1" t="s">
        <v>558</v>
      </c>
      <c r="UN1" s="2" t="s">
        <v>559</v>
      </c>
      <c r="UO1" t="s">
        <v>560</v>
      </c>
      <c r="UP1" t="s">
        <v>561</v>
      </c>
      <c r="UQ1" s="2" t="s">
        <v>562</v>
      </c>
      <c r="UR1" t="s">
        <v>563</v>
      </c>
      <c r="US1" s="2" t="s">
        <v>564</v>
      </c>
      <c r="UT1" s="2" t="s">
        <v>565</v>
      </c>
      <c r="UU1" t="s">
        <v>566</v>
      </c>
      <c r="UV1" s="2" t="s">
        <v>567</v>
      </c>
      <c r="UW1" t="s">
        <v>568</v>
      </c>
      <c r="UX1" t="s">
        <v>569</v>
      </c>
      <c r="UY1" t="s">
        <v>570</v>
      </c>
      <c r="UZ1" t="s">
        <v>571</v>
      </c>
      <c r="VA1" s="2" t="s">
        <v>572</v>
      </c>
      <c r="VB1" t="s">
        <v>573</v>
      </c>
      <c r="VC1" t="s">
        <v>574</v>
      </c>
      <c r="VD1" s="2" t="s">
        <v>575</v>
      </c>
      <c r="VE1" t="s">
        <v>576</v>
      </c>
      <c r="VF1" s="2" t="s">
        <v>577</v>
      </c>
      <c r="VG1" s="2" t="s">
        <v>578</v>
      </c>
      <c r="VH1" t="s">
        <v>579</v>
      </c>
      <c r="VI1" s="2" t="s">
        <v>580</v>
      </c>
      <c r="VJ1" t="s">
        <v>581</v>
      </c>
      <c r="VK1" t="s">
        <v>582</v>
      </c>
      <c r="VL1" t="s">
        <v>583</v>
      </c>
      <c r="VM1" t="s">
        <v>584</v>
      </c>
      <c r="VN1" s="2" t="s">
        <v>585</v>
      </c>
      <c r="VO1" t="s">
        <v>586</v>
      </c>
      <c r="VP1" t="s">
        <v>587</v>
      </c>
      <c r="VQ1" s="2" t="s">
        <v>588</v>
      </c>
      <c r="VR1" t="s">
        <v>589</v>
      </c>
      <c r="VS1" s="2" t="s">
        <v>590</v>
      </c>
      <c r="VT1" s="2" t="s">
        <v>591</v>
      </c>
      <c r="VU1" s="2" t="s">
        <v>592</v>
      </c>
      <c r="VV1" t="s">
        <v>593</v>
      </c>
      <c r="VW1" s="2" t="s">
        <v>594</v>
      </c>
      <c r="VX1" t="s">
        <v>595</v>
      </c>
      <c r="VY1" t="s">
        <v>596</v>
      </c>
      <c r="VZ1" t="s">
        <v>597</v>
      </c>
      <c r="WA1" t="s">
        <v>598</v>
      </c>
      <c r="WB1" s="2" t="s">
        <v>599</v>
      </c>
      <c r="WC1" t="s">
        <v>600</v>
      </c>
      <c r="WD1" t="s">
        <v>601</v>
      </c>
      <c r="WE1" s="2" t="s">
        <v>602</v>
      </c>
      <c r="WF1" t="s">
        <v>603</v>
      </c>
      <c r="WG1" s="2" t="s">
        <v>604</v>
      </c>
      <c r="WH1" s="2" t="s">
        <v>605</v>
      </c>
      <c r="WI1" t="s">
        <v>606</v>
      </c>
      <c r="WJ1" s="2" t="s">
        <v>607</v>
      </c>
      <c r="WK1" t="s">
        <v>608</v>
      </c>
      <c r="WL1" t="s">
        <v>609</v>
      </c>
      <c r="WM1" t="s">
        <v>610</v>
      </c>
      <c r="WN1" t="s">
        <v>611</v>
      </c>
      <c r="WO1" s="2" t="s">
        <v>612</v>
      </c>
      <c r="WP1" t="s">
        <v>613</v>
      </c>
      <c r="WQ1" t="s">
        <v>614</v>
      </c>
      <c r="WR1" s="2" t="s">
        <v>615</v>
      </c>
      <c r="WS1" t="s">
        <v>616</v>
      </c>
      <c r="WT1" s="2" t="s">
        <v>617</v>
      </c>
      <c r="WU1" s="2" t="s">
        <v>618</v>
      </c>
      <c r="WV1" t="s">
        <v>619</v>
      </c>
      <c r="WW1" s="2" t="s">
        <v>620</v>
      </c>
      <c r="WX1" t="s">
        <v>621</v>
      </c>
      <c r="WY1" t="s">
        <v>622</v>
      </c>
      <c r="WZ1" t="s">
        <v>623</v>
      </c>
      <c r="XA1" t="s">
        <v>624</v>
      </c>
      <c r="XB1" s="2" t="s">
        <v>625</v>
      </c>
      <c r="XC1" t="s">
        <v>626</v>
      </c>
      <c r="XD1" t="s">
        <v>627</v>
      </c>
      <c r="XE1" s="2" t="s">
        <v>628</v>
      </c>
      <c r="XF1" t="s">
        <v>629</v>
      </c>
      <c r="XG1" s="2" t="s">
        <v>630</v>
      </c>
      <c r="XH1" s="2" t="s">
        <v>631</v>
      </c>
      <c r="XI1" t="s">
        <v>632</v>
      </c>
      <c r="XJ1" s="2" t="s">
        <v>633</v>
      </c>
      <c r="XK1" t="s">
        <v>634</v>
      </c>
      <c r="XL1" t="s">
        <v>635</v>
      </c>
      <c r="XM1" t="s">
        <v>636</v>
      </c>
      <c r="XN1" t="s">
        <v>637</v>
      </c>
      <c r="XO1" s="2" t="s">
        <v>638</v>
      </c>
      <c r="XP1" t="s">
        <v>639</v>
      </c>
      <c r="XQ1" t="s">
        <v>640</v>
      </c>
      <c r="XR1" s="2" t="s">
        <v>641</v>
      </c>
      <c r="XS1" t="s">
        <v>642</v>
      </c>
      <c r="XT1" s="2" t="s">
        <v>643</v>
      </c>
      <c r="XU1" s="2" t="s">
        <v>644</v>
      </c>
      <c r="XV1" t="s">
        <v>645</v>
      </c>
      <c r="XW1" s="2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s="2" t="s">
        <v>654</v>
      </c>
      <c r="YF1" t="s">
        <v>655</v>
      </c>
      <c r="YG1" s="2" t="s">
        <v>656</v>
      </c>
      <c r="YH1" s="2" t="s">
        <v>657</v>
      </c>
      <c r="YI1" t="s">
        <v>658</v>
      </c>
      <c r="YJ1" s="2" t="s">
        <v>659</v>
      </c>
      <c r="YK1" t="s">
        <v>660</v>
      </c>
      <c r="YL1" t="s">
        <v>661</v>
      </c>
      <c r="YM1" t="s">
        <v>662</v>
      </c>
      <c r="YN1" t="s">
        <v>663</v>
      </c>
      <c r="YO1" s="2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s="2" t="s">
        <v>677</v>
      </c>
      <c r="ZC1" t="s">
        <v>678</v>
      </c>
      <c r="ZD1" t="s">
        <v>679</v>
      </c>
      <c r="ZE1" s="2" t="s">
        <v>680</v>
      </c>
      <c r="ZF1" t="s">
        <v>681</v>
      </c>
      <c r="ZG1" s="2" t="s">
        <v>682</v>
      </c>
      <c r="ZH1" s="2" t="s">
        <v>683</v>
      </c>
      <c r="ZI1" t="s">
        <v>684</v>
      </c>
      <c r="ZJ1" s="2" t="s">
        <v>685</v>
      </c>
      <c r="ZK1" t="s">
        <v>686</v>
      </c>
      <c r="ZL1" t="s">
        <v>687</v>
      </c>
      <c r="ZM1" t="s">
        <v>688</v>
      </c>
      <c r="ZN1" t="s">
        <v>689</v>
      </c>
      <c r="ZO1" s="2" t="s">
        <v>690</v>
      </c>
      <c r="ZP1" t="s">
        <v>691</v>
      </c>
      <c r="ZQ1" t="s">
        <v>692</v>
      </c>
      <c r="ZR1" s="2" t="s">
        <v>693</v>
      </c>
      <c r="ZS1" t="s">
        <v>694</v>
      </c>
      <c r="ZT1" s="2" t="s">
        <v>695</v>
      </c>
      <c r="ZU1" s="2" t="s">
        <v>696</v>
      </c>
      <c r="ZV1" t="s">
        <v>697</v>
      </c>
      <c r="ZW1" s="2" t="s">
        <v>698</v>
      </c>
      <c r="ZX1" t="s">
        <v>699</v>
      </c>
      <c r="ZY1" t="s">
        <v>700</v>
      </c>
      <c r="ZZ1" t="s">
        <v>701</v>
      </c>
      <c r="AAA1" t="s">
        <v>702</v>
      </c>
      <c r="AAB1" s="2" t="s">
        <v>703</v>
      </c>
      <c r="AAC1" t="s">
        <v>704</v>
      </c>
      <c r="AAD1" t="s">
        <v>705</v>
      </c>
      <c r="AAE1" s="2" t="s">
        <v>706</v>
      </c>
      <c r="AAF1" t="s">
        <v>707</v>
      </c>
      <c r="AAG1" s="2" t="s">
        <v>708</v>
      </c>
      <c r="AAH1" s="2" t="s">
        <v>709</v>
      </c>
      <c r="AAI1" t="s">
        <v>710</v>
      </c>
      <c r="AAJ1" s="2" t="s">
        <v>711</v>
      </c>
      <c r="AAK1" t="s">
        <v>712</v>
      </c>
      <c r="AAL1" t="s">
        <v>713</v>
      </c>
      <c r="AAM1" t="s">
        <v>714</v>
      </c>
      <c r="AAN1" t="s">
        <v>715</v>
      </c>
      <c r="AAO1" s="2" t="s">
        <v>716</v>
      </c>
      <c r="AAP1" t="s">
        <v>717</v>
      </c>
      <c r="AAQ1" t="s">
        <v>718</v>
      </c>
      <c r="AAR1" s="2" t="s">
        <v>719</v>
      </c>
      <c r="AAS1" t="s">
        <v>720</v>
      </c>
      <c r="AAT1" s="2" t="s">
        <v>721</v>
      </c>
      <c r="AAU1" s="2" t="s">
        <v>722</v>
      </c>
      <c r="AAV1" t="s">
        <v>723</v>
      </c>
      <c r="AAW1" s="2" t="s">
        <v>724</v>
      </c>
      <c r="AAX1" t="s">
        <v>725</v>
      </c>
      <c r="AAY1" t="s">
        <v>726</v>
      </c>
      <c r="AAZ1" t="s">
        <v>727</v>
      </c>
      <c r="ABA1" t="s">
        <v>728</v>
      </c>
      <c r="ABB1" s="2" t="s">
        <v>729</v>
      </c>
      <c r="ABC1" t="s">
        <v>730</v>
      </c>
      <c r="ABD1" t="s">
        <v>731</v>
      </c>
      <c r="ABE1" s="2" t="s">
        <v>732</v>
      </c>
      <c r="ABF1" t="s">
        <v>733</v>
      </c>
      <c r="ABG1" s="2" t="s">
        <v>734</v>
      </c>
      <c r="ABH1" s="2" t="s">
        <v>735</v>
      </c>
      <c r="ABI1" t="s">
        <v>736</v>
      </c>
      <c r="ABJ1" s="2" t="s">
        <v>737</v>
      </c>
      <c r="ABK1" t="s">
        <v>738</v>
      </c>
      <c r="ABL1" t="s">
        <v>739</v>
      </c>
      <c r="ABM1" t="s">
        <v>740</v>
      </c>
      <c r="ABN1" t="s">
        <v>741</v>
      </c>
      <c r="ABO1" s="2" t="s">
        <v>742</v>
      </c>
      <c r="ABP1" t="s">
        <v>743</v>
      </c>
      <c r="ABQ1" t="s">
        <v>744</v>
      </c>
      <c r="ABR1" s="2" t="s">
        <v>745</v>
      </c>
      <c r="ABS1" t="s">
        <v>746</v>
      </c>
      <c r="ABT1" s="2" t="s">
        <v>747</v>
      </c>
      <c r="ABU1" s="2" t="s">
        <v>748</v>
      </c>
      <c r="ABV1" t="s">
        <v>749</v>
      </c>
      <c r="ABW1" s="2" t="s">
        <v>750</v>
      </c>
      <c r="ABX1" t="s">
        <v>751</v>
      </c>
      <c r="ABY1" t="s">
        <v>752</v>
      </c>
      <c r="ABZ1" t="s">
        <v>753</v>
      </c>
      <c r="ACA1" t="s">
        <v>754</v>
      </c>
      <c r="ACB1" s="2" t="s">
        <v>755</v>
      </c>
      <c r="ACC1" t="s">
        <v>756</v>
      </c>
      <c r="ACD1" t="s">
        <v>757</v>
      </c>
      <c r="ACE1" s="2" t="s">
        <v>758</v>
      </c>
      <c r="ACF1" t="s">
        <v>759</v>
      </c>
      <c r="ACG1" s="2" t="s">
        <v>760</v>
      </c>
      <c r="ACH1" s="2" t="s">
        <v>761</v>
      </c>
      <c r="ACI1" t="s">
        <v>762</v>
      </c>
      <c r="ACJ1" s="2" t="s">
        <v>763</v>
      </c>
      <c r="ACK1" t="s">
        <v>764</v>
      </c>
      <c r="ACL1" t="s">
        <v>765</v>
      </c>
      <c r="ACM1" t="s">
        <v>766</v>
      </c>
      <c r="ACN1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t="s">
        <v>774</v>
      </c>
      <c r="ACV1" t="s">
        <v>775</v>
      </c>
      <c r="ACW1" t="s">
        <v>776</v>
      </c>
      <c r="ACX1" t="s">
        <v>777</v>
      </c>
      <c r="ACY1" s="2" t="s">
        <v>778</v>
      </c>
      <c r="ACZ1" s="2" t="s">
        <v>779</v>
      </c>
      <c r="ADA1" t="s">
        <v>780</v>
      </c>
      <c r="ADB1" s="2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s="2" t="s">
        <v>787</v>
      </c>
      <c r="ADI1" s="2" t="s">
        <v>788</v>
      </c>
      <c r="ADJ1" t="s">
        <v>789</v>
      </c>
      <c r="ADK1" s="2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s="2" t="s">
        <v>796</v>
      </c>
      <c r="ADR1" s="2" t="s">
        <v>797</v>
      </c>
      <c r="ADS1" t="s">
        <v>798</v>
      </c>
      <c r="ADT1" s="2" t="s">
        <v>799</v>
      </c>
      <c r="ADU1" t="s">
        <v>800</v>
      </c>
      <c r="ADV1" t="s">
        <v>801</v>
      </c>
      <c r="ADW1" s="2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s="2" t="s">
        <v>810</v>
      </c>
      <c r="AEF1" s="2" t="s">
        <v>811</v>
      </c>
      <c r="AEG1" s="2" t="s">
        <v>812</v>
      </c>
      <c r="AEH1" t="s">
        <v>813</v>
      </c>
      <c r="AEI1" t="s">
        <v>814</v>
      </c>
      <c r="AEJ1" s="2" t="s">
        <v>815</v>
      </c>
      <c r="AEK1" s="2" t="s">
        <v>816</v>
      </c>
      <c r="AEL1" t="s">
        <v>817</v>
      </c>
      <c r="AEM1" t="s">
        <v>818</v>
      </c>
      <c r="AEN1" s="2" t="s">
        <v>819</v>
      </c>
      <c r="AEO1" s="2" t="s">
        <v>820</v>
      </c>
      <c r="AEP1" s="2" t="s">
        <v>821</v>
      </c>
      <c r="AEQ1" t="s">
        <v>822</v>
      </c>
      <c r="AER1" t="s">
        <v>823</v>
      </c>
      <c r="AES1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t="s">
        <v>829</v>
      </c>
      <c r="AEY1" t="s">
        <v>830</v>
      </c>
      <c r="AEZ1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t="s">
        <v>836</v>
      </c>
      <c r="AFF1" t="s">
        <v>837</v>
      </c>
      <c r="AFG1" t="s">
        <v>838</v>
      </c>
      <c r="AFH1" s="2" t="s">
        <v>839</v>
      </c>
      <c r="AFI1" s="2" t="s">
        <v>840</v>
      </c>
      <c r="AFJ1" t="s">
        <v>841</v>
      </c>
      <c r="AFK1" t="s">
        <v>842</v>
      </c>
      <c r="AFL1" s="2" t="s">
        <v>843</v>
      </c>
      <c r="AFM1" s="2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s="2" t="s">
        <v>859</v>
      </c>
      <c r="AGC1" s="14" t="s">
        <v>860</v>
      </c>
      <c r="AGD1" t="s">
        <v>861</v>
      </c>
      <c r="AGE1" s="2" t="s">
        <v>862</v>
      </c>
      <c r="AGF1" t="s">
        <v>863</v>
      </c>
      <c r="AGG1" t="s">
        <v>864</v>
      </c>
      <c r="AGH1" s="2" t="s">
        <v>865</v>
      </c>
      <c r="AGI1" s="2" t="s">
        <v>866</v>
      </c>
      <c r="AGJ1" s="2" t="s">
        <v>867</v>
      </c>
      <c r="AGK1" t="s">
        <v>868</v>
      </c>
      <c r="AGL1" s="2" t="s">
        <v>869</v>
      </c>
      <c r="AGM1" s="2" t="s">
        <v>870</v>
      </c>
      <c r="AGN1" t="s">
        <v>871</v>
      </c>
      <c r="AGO1" s="2" t="s">
        <v>872</v>
      </c>
      <c r="AGP1" s="2" t="s">
        <v>873</v>
      </c>
      <c r="AGQ1" s="2" t="s">
        <v>874</v>
      </c>
      <c r="AGR1" t="s">
        <v>875</v>
      </c>
      <c r="AGS1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t="s">
        <v>881</v>
      </c>
      <c r="AGY1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t="s">
        <v>887</v>
      </c>
      <c r="AHE1" t="s">
        <v>888</v>
      </c>
      <c r="AHF1" s="2" t="s">
        <v>889</v>
      </c>
      <c r="AHG1" s="2" t="s">
        <v>890</v>
      </c>
      <c r="AHH1" t="s">
        <v>891</v>
      </c>
      <c r="AHI1" s="2" t="s">
        <v>892</v>
      </c>
      <c r="AHJ1" s="2" t="s">
        <v>893</v>
      </c>
      <c r="AHK1" s="5" t="s">
        <v>894</v>
      </c>
      <c r="AHL1" s="5" t="s">
        <v>895</v>
      </c>
      <c r="AHM1" s="5" t="s">
        <v>896</v>
      </c>
      <c r="AHN1" s="5" t="s">
        <v>897</v>
      </c>
      <c r="AHO1" s="5" t="s">
        <v>898</v>
      </c>
      <c r="AHP1" s="5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s="5" t="s">
        <v>905</v>
      </c>
      <c r="AHW1" s="5" t="s">
        <v>906</v>
      </c>
      <c r="AHX1" s="5" t="s">
        <v>907</v>
      </c>
      <c r="AHY1" s="6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s="2" t="s">
        <v>1004</v>
      </c>
      <c r="ALR1" s="2" t="s">
        <v>1005</v>
      </c>
      <c r="ALS1" s="2" t="s">
        <v>1006</v>
      </c>
      <c r="ALT1" t="s">
        <v>1007</v>
      </c>
      <c r="ALU1" t="s">
        <v>1008</v>
      </c>
      <c r="ALV1" s="2" t="s">
        <v>1009</v>
      </c>
      <c r="ALW1" t="s">
        <v>1010</v>
      </c>
      <c r="ALX1" s="2" t="s">
        <v>1011</v>
      </c>
      <c r="ALY1" s="2" t="s">
        <v>1012</v>
      </c>
      <c r="ALZ1" s="2" t="s">
        <v>1013</v>
      </c>
      <c r="AMA1" t="s">
        <v>1014</v>
      </c>
      <c r="AMB1" s="2" t="s">
        <v>1015</v>
      </c>
      <c r="AMC1" s="2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s="2" t="s">
        <v>1021</v>
      </c>
      <c r="AMI1" s="2" t="s">
        <v>1022</v>
      </c>
      <c r="AMJ1" s="2" t="s">
        <v>1023</v>
      </c>
      <c r="AMK1" t="s">
        <v>1024</v>
      </c>
      <c r="AML1" t="s">
        <v>1025</v>
      </c>
      <c r="AMM1" t="s">
        <v>1026</v>
      </c>
      <c r="AMN1" s="2" t="s">
        <v>1027</v>
      </c>
      <c r="AMO1" t="s">
        <v>1028</v>
      </c>
      <c r="AMP1" s="2" t="s">
        <v>1029</v>
      </c>
      <c r="AMQ1" s="2" t="s">
        <v>1030</v>
      </c>
      <c r="AMR1" t="s">
        <v>1031</v>
      </c>
      <c r="AMS1" s="2" t="s">
        <v>1032</v>
      </c>
      <c r="AMT1" s="2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s="2" t="s">
        <v>1084</v>
      </c>
      <c r="AOT1" t="s">
        <v>1085</v>
      </c>
      <c r="AOU1" s="2" t="s">
        <v>1086</v>
      </c>
      <c r="AOV1" s="2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t="s">
        <v>1104</v>
      </c>
      <c r="APN1" s="2" t="s">
        <v>1105</v>
      </c>
      <c r="APO1" s="2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t="s">
        <v>1115</v>
      </c>
      <c r="APY1" t="s">
        <v>1116</v>
      </c>
      <c r="APZ1" s="2" t="s">
        <v>1117</v>
      </c>
      <c r="AQA1" t="s">
        <v>1118</v>
      </c>
      <c r="AQB1" s="2" t="s">
        <v>1119</v>
      </c>
      <c r="AQC1" s="2" t="s">
        <v>1120</v>
      </c>
      <c r="AQD1" s="2" t="s">
        <v>1121</v>
      </c>
      <c r="AQE1" t="s">
        <v>1122</v>
      </c>
      <c r="AQF1" s="2" t="s">
        <v>1123</v>
      </c>
      <c r="AQG1" s="2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s="2" t="s">
        <v>1131</v>
      </c>
      <c r="AQO1" t="s">
        <v>1132</v>
      </c>
      <c r="AQP1" s="2" t="s">
        <v>1133</v>
      </c>
      <c r="AQQ1" s="2" t="s">
        <v>1134</v>
      </c>
      <c r="AQR1" s="2" t="s">
        <v>1135</v>
      </c>
      <c r="AQS1" t="s">
        <v>1136</v>
      </c>
      <c r="AQT1" s="2" t="s">
        <v>1137</v>
      </c>
      <c r="AQU1" s="2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s="2" t="s">
        <v>1145</v>
      </c>
      <c r="ARC1" t="s">
        <v>1146</v>
      </c>
      <c r="ARD1" s="2" t="s">
        <v>1147</v>
      </c>
      <c r="ARE1" s="2" t="s">
        <v>1148</v>
      </c>
      <c r="ARF1" s="2" t="s">
        <v>1149</v>
      </c>
      <c r="ARG1" t="s">
        <v>1150</v>
      </c>
      <c r="ARH1" s="2" t="s">
        <v>1151</v>
      </c>
      <c r="ARI1" s="2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s="2" t="s">
        <v>1157</v>
      </c>
      <c r="ARO1" t="s">
        <v>1158</v>
      </c>
      <c r="ARP1" s="2" t="s">
        <v>1159</v>
      </c>
      <c r="ARQ1" t="s">
        <v>1160</v>
      </c>
      <c r="ARR1" s="2" t="s">
        <v>1161</v>
      </c>
      <c r="ARS1" s="2" t="s">
        <v>1162</v>
      </c>
      <c r="ART1" s="2" t="s">
        <v>1163</v>
      </c>
      <c r="ARU1" t="s">
        <v>1164</v>
      </c>
      <c r="ARV1" s="2" t="s">
        <v>1165</v>
      </c>
      <c r="ARW1" s="2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s="2" t="s">
        <v>1171</v>
      </c>
      <c r="ASC1" t="s">
        <v>1172</v>
      </c>
      <c r="ASD1" s="2" t="s">
        <v>1173</v>
      </c>
      <c r="ASE1" s="14" t="s">
        <v>1174</v>
      </c>
      <c r="ASF1" s="2" t="s">
        <v>1175</v>
      </c>
      <c r="ASG1" s="2" t="s">
        <v>1176</v>
      </c>
      <c r="ASH1" s="2" t="s">
        <v>1177</v>
      </c>
      <c r="ASI1" t="s">
        <v>1178</v>
      </c>
      <c r="ASJ1" s="2" t="s">
        <v>1179</v>
      </c>
      <c r="ASK1" s="2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s="2" t="s">
        <v>1185</v>
      </c>
      <c r="ASQ1" t="s">
        <v>1186</v>
      </c>
      <c r="ASR1" s="2" t="s">
        <v>1187</v>
      </c>
      <c r="ASS1" t="s">
        <v>1188</v>
      </c>
      <c r="AST1" s="2" t="s">
        <v>1189</v>
      </c>
      <c r="ASU1" s="2" t="s">
        <v>1190</v>
      </c>
      <c r="ASV1" s="2" t="s">
        <v>1191</v>
      </c>
      <c r="ASW1" t="s">
        <v>1192</v>
      </c>
      <c r="ASX1" s="2" t="s">
        <v>1193</v>
      </c>
      <c r="ASY1" s="2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5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s="2" t="s">
        <v>1209</v>
      </c>
      <c r="ATO1" t="s">
        <v>1210</v>
      </c>
      <c r="ATP1" s="2" t="s">
        <v>1211</v>
      </c>
      <c r="ATQ1" t="s">
        <v>1212</v>
      </c>
      <c r="ATR1" t="s">
        <v>1213</v>
      </c>
      <c r="ATS1" t="s">
        <v>1214</v>
      </c>
      <c r="ATT1" s="5" t="s">
        <v>1215</v>
      </c>
      <c r="ATU1" s="5" t="s">
        <v>1216</v>
      </c>
      <c r="ATV1" s="5" t="s">
        <v>1217</v>
      </c>
      <c r="ATW1" s="5" t="s">
        <v>1218</v>
      </c>
      <c r="ATX1" s="5" t="s">
        <v>1219</v>
      </c>
      <c r="ATY1" s="5" t="s">
        <v>1220</v>
      </c>
      <c r="ATZ1" s="5" t="s">
        <v>1221</v>
      </c>
      <c r="AUA1" s="5" t="s">
        <v>1222</v>
      </c>
      <c r="AUB1" s="5" t="s">
        <v>1223</v>
      </c>
      <c r="AUC1" s="5" t="s">
        <v>1224</v>
      </c>
      <c r="AUD1" s="5" t="s">
        <v>1225</v>
      </c>
      <c r="AUE1" s="5" t="s">
        <v>1226</v>
      </c>
      <c r="AUF1" s="5" t="s">
        <v>1227</v>
      </c>
      <c r="AUG1" s="5" t="s">
        <v>1228</v>
      </c>
      <c r="AUH1" s="5" t="s">
        <v>1229</v>
      </c>
      <c r="AUI1" s="5" t="s">
        <v>1230</v>
      </c>
      <c r="AUJ1" s="5" t="s">
        <v>1231</v>
      </c>
      <c r="AUK1" s="5" t="s">
        <v>1232</v>
      </c>
      <c r="AUL1" t="s">
        <v>1233</v>
      </c>
      <c r="AUM1" t="s">
        <v>1234</v>
      </c>
      <c r="AUN1" s="14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</row>
    <row r="2" spans="1:1302" x14ac:dyDescent="0.3">
      <c r="A2">
        <v>2022</v>
      </c>
      <c r="B2">
        <v>6552500</v>
      </c>
      <c r="C2" s="2">
        <v>0</v>
      </c>
      <c r="D2" s="3">
        <v>2317</v>
      </c>
      <c r="E2" s="3">
        <v>20</v>
      </c>
      <c r="F2" s="2">
        <v>2000</v>
      </c>
      <c r="G2" s="4">
        <v>1</v>
      </c>
      <c r="H2" s="3">
        <v>0.4</v>
      </c>
      <c r="I2" s="3">
        <v>5.0000000000000001E-3</v>
      </c>
      <c r="J2">
        <v>0.02</v>
      </c>
      <c r="K2">
        <v>1E-3</v>
      </c>
      <c r="L2" s="3">
        <v>7.0000000000000001E-3</v>
      </c>
      <c r="M2">
        <v>1E-3</v>
      </c>
      <c r="N2">
        <v>0.05</v>
      </c>
      <c r="O2">
        <v>4.7000000000000002E-3</v>
      </c>
      <c r="P2" s="3">
        <v>0.115</v>
      </c>
      <c r="Q2">
        <v>1.09E-2</v>
      </c>
      <c r="R2" s="3">
        <v>6.0000000000000001E-3</v>
      </c>
      <c r="S2" s="3">
        <v>1.7000000000000001E-2</v>
      </c>
      <c r="T2" s="3">
        <v>7.9000000000000001E-2</v>
      </c>
      <c r="U2" s="3">
        <v>2.2899999999999999E-3</v>
      </c>
      <c r="V2" s="3">
        <v>1.1999999999999999E-3</v>
      </c>
      <c r="W2">
        <v>8.0000000000000004E-4</v>
      </c>
      <c r="X2" s="3">
        <v>1.6E-2</v>
      </c>
      <c r="Y2" s="3">
        <v>1.4999999999999999E-2</v>
      </c>
      <c r="Z2" s="3">
        <v>2.5000000000000001E-2</v>
      </c>
      <c r="AA2" s="3">
        <v>0</v>
      </c>
      <c r="AB2">
        <v>3.1589999999999998</v>
      </c>
      <c r="AC2" s="8">
        <v>3.96</v>
      </c>
      <c r="AD2" s="8">
        <v>1.7000000000000001E-2</v>
      </c>
      <c r="AE2" s="8">
        <v>0.4</v>
      </c>
      <c r="AF2" s="8">
        <v>1.2E-2</v>
      </c>
      <c r="AG2" s="8">
        <v>0</v>
      </c>
      <c r="AH2" s="8">
        <v>0.36880000000000002</v>
      </c>
      <c r="AI2">
        <v>800</v>
      </c>
      <c r="AJ2">
        <v>18.989999999999998</v>
      </c>
      <c r="AK2" s="3">
        <v>18.600000000000001</v>
      </c>
      <c r="AL2" s="3">
        <v>62</v>
      </c>
      <c r="AM2" s="3">
        <v>195.17</v>
      </c>
      <c r="AN2" s="3">
        <v>145</v>
      </c>
      <c r="AO2">
        <v>64.510000000000005</v>
      </c>
      <c r="AP2" s="3">
        <v>445.5</v>
      </c>
      <c r="AQ2" s="3">
        <v>1343</v>
      </c>
      <c r="AR2">
        <v>52.83</v>
      </c>
      <c r="AS2">
        <v>89070</v>
      </c>
      <c r="AT2" s="3">
        <v>1406</v>
      </c>
      <c r="AU2">
        <v>161.66999999999999</v>
      </c>
      <c r="AV2">
        <v>1530</v>
      </c>
      <c r="AW2">
        <v>120.46</v>
      </c>
      <c r="AX2">
        <v>3000</v>
      </c>
      <c r="AY2" s="3">
        <v>1062.5</v>
      </c>
      <c r="AZ2">
        <v>9.99</v>
      </c>
      <c r="BA2">
        <v>74758.66</v>
      </c>
      <c r="BB2" s="3">
        <v>1309.4000000000001</v>
      </c>
      <c r="BC2">
        <v>9380</v>
      </c>
      <c r="BD2" s="4">
        <v>3</v>
      </c>
      <c r="BE2" s="4">
        <v>0.4</v>
      </c>
      <c r="BF2" s="4">
        <v>770</v>
      </c>
      <c r="BG2" s="4">
        <v>5765</v>
      </c>
      <c r="BH2" s="4">
        <v>340</v>
      </c>
      <c r="BI2" s="4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73.733333333333306</v>
      </c>
      <c r="CN2" s="3">
        <v>54.6</v>
      </c>
      <c r="CO2" s="3">
        <v>112</v>
      </c>
      <c r="CP2" s="3">
        <v>94.6</v>
      </c>
      <c r="CQ2">
        <v>97.016666666666595</v>
      </c>
      <c r="CR2">
        <v>103.833333333333</v>
      </c>
      <c r="CS2" s="3">
        <v>73.3</v>
      </c>
      <c r="CT2" s="3">
        <v>74.099999999999994</v>
      </c>
      <c r="CU2">
        <v>0</v>
      </c>
      <c r="CV2">
        <v>221</v>
      </c>
      <c r="CW2" s="3">
        <v>69.766666666666595</v>
      </c>
      <c r="CX2">
        <v>0</v>
      </c>
      <c r="CY2">
        <v>63.1</v>
      </c>
      <c r="CZ2">
        <v>0</v>
      </c>
      <c r="DA2" s="3">
        <v>0</v>
      </c>
      <c r="DB2" s="3">
        <v>71.7</v>
      </c>
      <c r="DC2">
        <v>60.15</v>
      </c>
      <c r="DD2">
        <v>60.15</v>
      </c>
      <c r="DE2">
        <v>0</v>
      </c>
      <c r="DF2">
        <v>0</v>
      </c>
      <c r="DG2" s="3">
        <v>75.349999999999994</v>
      </c>
      <c r="DH2" s="3">
        <v>95.066666666666606</v>
      </c>
      <c r="DI2" s="3">
        <v>0</v>
      </c>
      <c r="DJ2" s="3">
        <v>100.37</v>
      </c>
      <c r="DK2" s="3">
        <v>0</v>
      </c>
      <c r="DL2" s="3">
        <v>3.0000000000000001E-3</v>
      </c>
      <c r="DM2" s="3">
        <v>1E-3</v>
      </c>
      <c r="DN2" s="3">
        <v>1.6E-2</v>
      </c>
      <c r="DO2" s="3">
        <v>1E-3</v>
      </c>
      <c r="DP2" s="3">
        <v>1E-3</v>
      </c>
      <c r="DQ2">
        <v>1.6666666666666601E-3</v>
      </c>
      <c r="DR2" s="3">
        <v>3.0000000000000001E-3</v>
      </c>
      <c r="DS2" s="3">
        <v>3.0000000000000001E-3</v>
      </c>
      <c r="DT2" s="3">
        <v>0</v>
      </c>
      <c r="DU2" s="3">
        <v>1E-3</v>
      </c>
      <c r="DV2" s="3">
        <v>3.0000000000000001E-3</v>
      </c>
      <c r="DW2">
        <v>0</v>
      </c>
      <c r="DX2">
        <v>1E-3</v>
      </c>
      <c r="DY2">
        <v>0</v>
      </c>
      <c r="DZ2" s="3">
        <v>0</v>
      </c>
      <c r="EA2" s="3">
        <v>3.0000000000000001E-3</v>
      </c>
      <c r="EB2">
        <v>2E-3</v>
      </c>
      <c r="EC2">
        <v>2E-3</v>
      </c>
      <c r="ED2">
        <v>0</v>
      </c>
      <c r="EE2">
        <v>0</v>
      </c>
      <c r="EF2" s="3">
        <v>1.6500000000000001E-2</v>
      </c>
      <c r="EG2" s="3">
        <v>1E-3</v>
      </c>
      <c r="EH2" s="3">
        <v>0</v>
      </c>
      <c r="EI2" s="3">
        <v>2.79</v>
      </c>
      <c r="EJ2" s="3">
        <v>0</v>
      </c>
      <c r="EK2">
        <v>5.9999999999999995E-4</v>
      </c>
      <c r="EL2" s="3">
        <v>1E-4</v>
      </c>
      <c r="EM2" s="3">
        <v>2.875E-3</v>
      </c>
      <c r="EN2" s="3">
        <v>1.5E-3</v>
      </c>
      <c r="EO2" s="3">
        <v>1.5E-3</v>
      </c>
      <c r="EP2">
        <v>7.3333333333333302E-4</v>
      </c>
      <c r="EQ2">
        <v>5.9999999999999995E-4</v>
      </c>
      <c r="ER2" s="3">
        <v>5.9999999999999995E-4</v>
      </c>
      <c r="ES2" s="3">
        <v>0</v>
      </c>
      <c r="ET2" s="3">
        <v>1E-4</v>
      </c>
      <c r="EU2" s="3">
        <v>5.9999999999999995E-4</v>
      </c>
      <c r="EV2">
        <v>0</v>
      </c>
      <c r="EW2">
        <v>1E-4</v>
      </c>
      <c r="EX2">
        <v>0</v>
      </c>
      <c r="EY2" s="3">
        <v>0</v>
      </c>
      <c r="EZ2" s="3">
        <v>5.9999999999999995E-4</v>
      </c>
      <c r="FA2">
        <v>3.5E-4</v>
      </c>
      <c r="FB2">
        <v>3.5E-4</v>
      </c>
      <c r="FC2">
        <v>0</v>
      </c>
      <c r="FD2">
        <v>0</v>
      </c>
      <c r="FE2" s="3">
        <v>2.3E-3</v>
      </c>
      <c r="FF2" s="3">
        <v>1.5E-3</v>
      </c>
      <c r="FG2" s="3">
        <v>0</v>
      </c>
      <c r="FH2" s="3">
        <v>9.5899999999999996E-3</v>
      </c>
      <c r="FI2" s="3">
        <v>0</v>
      </c>
      <c r="FJ2" s="7">
        <v>1.6583123951776999E-6</v>
      </c>
      <c r="FK2" s="7">
        <v>8.4498520697110406E-8</v>
      </c>
      <c r="FL2" s="7">
        <v>2.4E-8</v>
      </c>
      <c r="FM2" s="3">
        <v>1.4105270168067501E-4</v>
      </c>
      <c r="FN2" s="1">
        <v>3.23821170194798E-9</v>
      </c>
      <c r="FO2" s="7">
        <v>2.46779253585061E-5</v>
      </c>
      <c r="FP2" s="3">
        <v>5.1415182085719699E-2</v>
      </c>
      <c r="FQ2" s="1">
        <v>4.89277622940513E-6</v>
      </c>
      <c r="FR2" s="3">
        <v>3.99749921826133E-2</v>
      </c>
      <c r="FS2" s="1">
        <v>6.3213623094501506E-11</v>
      </c>
      <c r="FT2" s="7">
        <v>6.3213922517116401E-7</v>
      </c>
      <c r="FU2" s="1">
        <v>2.6021139604446299E-9</v>
      </c>
      <c r="FV2" s="3">
        <v>6.2529992803453897E-3</v>
      </c>
      <c r="FW2" s="3">
        <v>0</v>
      </c>
      <c r="FX2" s="1">
        <v>3.2490625588560901E-6</v>
      </c>
      <c r="FY2" s="3">
        <v>9.2441948549119596E-3</v>
      </c>
      <c r="FZ2" s="3">
        <v>0</v>
      </c>
      <c r="GA2" s="1">
        <v>6.1712669934061603E-5</v>
      </c>
      <c r="GB2" s="3">
        <v>1.02490704319759E-2</v>
      </c>
      <c r="GC2" s="7">
        <v>6.8E-8</v>
      </c>
      <c r="GD2" s="1">
        <v>5.4211433772233295E-7</v>
      </c>
      <c r="GE2" s="3">
        <v>1.40263261984831E-2</v>
      </c>
      <c r="GF2" s="3">
        <v>1.52432705551728E-2</v>
      </c>
      <c r="GG2" s="3">
        <v>1.02176318195558E-2</v>
      </c>
      <c r="GH2" s="3">
        <v>5.1633091233467803E-3</v>
      </c>
      <c r="GI2" s="3">
        <v>2.1213203435596398E-3</v>
      </c>
      <c r="GJ2" s="3">
        <v>0</v>
      </c>
      <c r="GK2" s="3">
        <v>1.87616630392937E-3</v>
      </c>
      <c r="GL2" s="1">
        <v>6.4583997501198804E-7</v>
      </c>
      <c r="GM2" s="7">
        <v>1.52E-5</v>
      </c>
      <c r="GN2" s="1">
        <v>6.2528652183015504E-9</v>
      </c>
      <c r="GO2" s="7">
        <v>1.395E-6</v>
      </c>
      <c r="GP2" s="3">
        <v>0</v>
      </c>
      <c r="GQ2" s="1">
        <v>1.82429989565185E-8</v>
      </c>
      <c r="GR2" s="3">
        <v>1.5200000000000001E-4</v>
      </c>
      <c r="GS2" s="3">
        <v>1</v>
      </c>
      <c r="GT2">
        <v>0</v>
      </c>
      <c r="GU2" s="1">
        <v>8.0000000000000007E-5</v>
      </c>
      <c r="GV2" s="7">
        <v>8.0000000000000007E-5</v>
      </c>
      <c r="GW2" s="3">
        <v>1</v>
      </c>
      <c r="GX2" s="3">
        <v>0</v>
      </c>
      <c r="GY2" s="3">
        <v>1</v>
      </c>
      <c r="GZ2" s="3">
        <v>1</v>
      </c>
      <c r="HA2" s="3">
        <v>0</v>
      </c>
      <c r="HB2" s="3">
        <v>0</v>
      </c>
      <c r="HC2" s="1">
        <v>2.0000000000000002E-5</v>
      </c>
      <c r="HD2" s="3">
        <v>1</v>
      </c>
      <c r="HE2" s="3">
        <v>1</v>
      </c>
      <c r="HF2" s="3">
        <v>1</v>
      </c>
      <c r="HG2" s="3">
        <v>1</v>
      </c>
      <c r="HH2" s="3">
        <v>1</v>
      </c>
      <c r="HI2" s="3">
        <v>1</v>
      </c>
      <c r="HJ2" s="3">
        <v>0</v>
      </c>
      <c r="HK2" s="3">
        <v>1</v>
      </c>
      <c r="HL2" s="3">
        <v>0</v>
      </c>
      <c r="HM2" s="7">
        <v>1.9999999999999999E-6</v>
      </c>
      <c r="HN2" s="7">
        <v>4.0000000000000001E-8</v>
      </c>
      <c r="HO2" s="3">
        <v>1</v>
      </c>
      <c r="HP2" s="3">
        <v>0</v>
      </c>
      <c r="HQ2" s="3">
        <v>0</v>
      </c>
      <c r="HR2" s="7">
        <v>5.9999999999999997E-7</v>
      </c>
      <c r="HS2" s="3">
        <v>1</v>
      </c>
      <c r="HT2" s="3">
        <v>1</v>
      </c>
      <c r="HU2" s="3">
        <v>0</v>
      </c>
      <c r="HV2" s="3">
        <v>0</v>
      </c>
      <c r="HW2" s="7">
        <v>7.9999999999999996E-6</v>
      </c>
      <c r="HX2" s="3">
        <v>1</v>
      </c>
      <c r="HY2" s="3">
        <v>0</v>
      </c>
      <c r="HZ2" s="3">
        <v>2.0000000000000001E-4</v>
      </c>
      <c r="IA2" s="3">
        <v>0</v>
      </c>
      <c r="IB2" s="3">
        <v>1</v>
      </c>
      <c r="IC2" s="3">
        <v>0</v>
      </c>
      <c r="ID2" s="7">
        <v>1.9999999999999999E-6</v>
      </c>
      <c r="IE2" s="3">
        <v>0</v>
      </c>
      <c r="IF2" s="3">
        <v>0</v>
      </c>
      <c r="IG2" s="3">
        <v>0</v>
      </c>
      <c r="IH2" s="3">
        <v>1</v>
      </c>
      <c r="II2" s="3">
        <v>1</v>
      </c>
      <c r="IJ2" s="3">
        <v>0</v>
      </c>
      <c r="IK2" s="3">
        <v>0</v>
      </c>
      <c r="IL2" s="3">
        <v>1.16E-3</v>
      </c>
      <c r="IM2" s="3">
        <v>1.7357142857142799E-4</v>
      </c>
      <c r="IN2" s="3">
        <v>3.9654299999999998E-3</v>
      </c>
      <c r="IO2" s="3">
        <v>1</v>
      </c>
      <c r="IP2" s="3">
        <v>1</v>
      </c>
      <c r="IQ2" s="3">
        <v>0</v>
      </c>
      <c r="IR2" s="3">
        <v>0</v>
      </c>
      <c r="IS2" s="3">
        <v>1</v>
      </c>
      <c r="IT2" s="3">
        <v>1</v>
      </c>
      <c r="IU2" s="3">
        <v>3.0000000000000001E-3</v>
      </c>
      <c r="IV2" s="7">
        <v>3.0000000000000001E-5</v>
      </c>
      <c r="IW2" s="3">
        <v>3.15</v>
      </c>
      <c r="IX2" s="3">
        <v>3.08</v>
      </c>
      <c r="IY2" s="3">
        <v>0.52</v>
      </c>
      <c r="IZ2" s="3">
        <v>0.848907407407407</v>
      </c>
      <c r="JA2" s="3">
        <v>0.2</v>
      </c>
      <c r="JB2" s="3">
        <v>0.75</v>
      </c>
      <c r="JC2" s="3">
        <v>1.8667380952380901</v>
      </c>
      <c r="JD2" s="3">
        <v>1.43807229</v>
      </c>
      <c r="JE2" s="3">
        <v>1</v>
      </c>
      <c r="JF2" s="3">
        <v>3.7409999999999999E-2</v>
      </c>
      <c r="JG2" s="3">
        <v>6.9999999999999999E-4</v>
      </c>
      <c r="JH2" s="3">
        <v>0</v>
      </c>
      <c r="JI2" s="3">
        <v>1E-4</v>
      </c>
      <c r="JJ2" s="3">
        <v>1</v>
      </c>
      <c r="JK2" s="7">
        <v>6.0000000000000002E-6</v>
      </c>
      <c r="JL2" s="7">
        <v>6.0000000000000002E-6</v>
      </c>
      <c r="JM2" s="7">
        <v>6.0000000000000002E-6</v>
      </c>
      <c r="JN2" s="3">
        <v>0.5</v>
      </c>
      <c r="JO2" s="3">
        <v>2</v>
      </c>
      <c r="JP2" s="3">
        <v>13.315</v>
      </c>
      <c r="JQ2" s="3">
        <v>3.71</v>
      </c>
      <c r="JR2" s="3">
        <v>77</v>
      </c>
      <c r="JS2" s="3">
        <v>3.9</v>
      </c>
      <c r="JT2" s="3">
        <v>20.6</v>
      </c>
      <c r="JU2" s="3">
        <v>62</v>
      </c>
      <c r="JV2" s="3">
        <v>350</v>
      </c>
      <c r="JW2" s="3">
        <v>41</v>
      </c>
      <c r="JX2" s="3">
        <v>3.9</v>
      </c>
      <c r="JY2" s="3">
        <v>5.6</v>
      </c>
      <c r="JZ2" s="3">
        <v>0.2</v>
      </c>
      <c r="KA2" s="3">
        <v>3</v>
      </c>
      <c r="KB2" s="3">
        <v>4.1500000000000004</v>
      </c>
      <c r="KC2" s="3">
        <v>350</v>
      </c>
      <c r="KD2" s="3">
        <v>28.6</v>
      </c>
      <c r="KE2" s="3">
        <v>3</v>
      </c>
      <c r="KF2" s="3">
        <v>4.1500000000000004</v>
      </c>
      <c r="KG2" s="3">
        <v>350</v>
      </c>
      <c r="KH2" s="3">
        <v>28.6</v>
      </c>
      <c r="KI2" s="3">
        <v>3</v>
      </c>
      <c r="KJ2" s="3">
        <v>77</v>
      </c>
      <c r="KK2" s="3">
        <v>3.9</v>
      </c>
      <c r="KL2" s="3">
        <v>20.6</v>
      </c>
      <c r="KM2" s="3">
        <v>62</v>
      </c>
      <c r="KN2" s="3">
        <v>350</v>
      </c>
      <c r="KO2" s="3">
        <v>41</v>
      </c>
      <c r="KP2" s="3">
        <v>3.9</v>
      </c>
      <c r="KQ2" s="3">
        <v>5.6</v>
      </c>
      <c r="KR2" s="3">
        <v>0.2</v>
      </c>
      <c r="KS2" s="3">
        <v>3</v>
      </c>
      <c r="KT2" s="3">
        <v>77</v>
      </c>
      <c r="KU2" s="3">
        <v>3.9</v>
      </c>
      <c r="KV2" s="3">
        <v>20.6</v>
      </c>
      <c r="KW2" s="3">
        <v>62</v>
      </c>
      <c r="KX2" s="3">
        <v>350</v>
      </c>
      <c r="KY2" s="3">
        <v>41</v>
      </c>
      <c r="KZ2" s="3">
        <v>3.9</v>
      </c>
      <c r="LA2" s="3">
        <v>5.6</v>
      </c>
      <c r="LB2" s="3">
        <v>0.2</v>
      </c>
      <c r="LC2" s="3">
        <v>3</v>
      </c>
      <c r="LD2" s="3">
        <v>18</v>
      </c>
      <c r="LE2" s="3">
        <v>3.9</v>
      </c>
      <c r="LF2" s="3">
        <v>20.6</v>
      </c>
      <c r="LG2" s="3">
        <v>62</v>
      </c>
      <c r="LH2" s="3">
        <v>41</v>
      </c>
      <c r="LI2" s="3">
        <v>3.9</v>
      </c>
      <c r="LJ2" s="3">
        <v>5.6</v>
      </c>
      <c r="LK2" s="3">
        <v>0.2</v>
      </c>
      <c r="LL2" s="3">
        <v>7</v>
      </c>
      <c r="LM2" s="3">
        <v>350</v>
      </c>
      <c r="LN2" s="3">
        <v>2</v>
      </c>
      <c r="LO2" s="3">
        <v>3</v>
      </c>
      <c r="LP2">
        <v>0.95</v>
      </c>
      <c r="LQ2">
        <v>0.8</v>
      </c>
      <c r="LR2">
        <v>0.8</v>
      </c>
      <c r="LS2" s="3">
        <v>0.6</v>
      </c>
      <c r="LT2" s="3">
        <v>0.78</v>
      </c>
      <c r="LU2" s="3">
        <v>0.6</v>
      </c>
      <c r="LV2" s="3">
        <v>0.82</v>
      </c>
      <c r="LW2" s="3">
        <v>3.2</v>
      </c>
      <c r="LX2" s="3">
        <v>0.8</v>
      </c>
      <c r="LY2" s="3">
        <v>0.85</v>
      </c>
      <c r="LZ2">
        <v>0.75</v>
      </c>
      <c r="MA2">
        <v>0.8</v>
      </c>
      <c r="MB2" s="3">
        <v>0.8</v>
      </c>
      <c r="MC2">
        <v>0.8</v>
      </c>
      <c r="MD2" s="3">
        <v>0.82</v>
      </c>
      <c r="ME2" s="3">
        <v>0.95</v>
      </c>
      <c r="MF2" s="3">
        <v>0.33500000000000002</v>
      </c>
      <c r="MG2" s="3">
        <v>0.14000000000000001</v>
      </c>
      <c r="MH2" s="3">
        <v>0.45</v>
      </c>
      <c r="MI2" s="3">
        <v>0.45</v>
      </c>
      <c r="MJ2" s="3">
        <v>0.4</v>
      </c>
      <c r="MK2" s="3">
        <v>0.4</v>
      </c>
      <c r="ML2" s="3">
        <v>1</v>
      </c>
      <c r="MM2" s="3">
        <v>0.85499999999999998</v>
      </c>
      <c r="MN2" s="3">
        <v>2.7000000000000001E-3</v>
      </c>
      <c r="MO2" s="3">
        <v>1</v>
      </c>
      <c r="MP2" s="3">
        <v>0.22</v>
      </c>
      <c r="MQ2" s="3">
        <v>1</v>
      </c>
      <c r="MR2" s="3">
        <v>0.22</v>
      </c>
      <c r="MS2" s="3">
        <v>1</v>
      </c>
      <c r="MT2" s="3">
        <v>0.8</v>
      </c>
      <c r="MU2" s="3">
        <v>0.75</v>
      </c>
      <c r="MV2" s="3">
        <v>0.85</v>
      </c>
      <c r="MW2" s="3">
        <v>0.75</v>
      </c>
      <c r="MX2">
        <v>0.6</v>
      </c>
      <c r="MY2">
        <v>0.82</v>
      </c>
      <c r="MZ2">
        <v>2.4</v>
      </c>
      <c r="NA2">
        <v>0.75</v>
      </c>
      <c r="NB2" s="3">
        <v>0.75</v>
      </c>
      <c r="NC2" s="3">
        <v>0.8</v>
      </c>
      <c r="ND2" s="3">
        <v>0.82</v>
      </c>
      <c r="NE2" s="3">
        <v>0.8</v>
      </c>
      <c r="NF2" s="3">
        <v>0.7</v>
      </c>
      <c r="NG2" s="6">
        <v>0.6</v>
      </c>
      <c r="NH2" s="6">
        <v>0.75</v>
      </c>
      <c r="NI2" s="6">
        <v>2.4</v>
      </c>
      <c r="NJ2" s="6">
        <v>0.75</v>
      </c>
      <c r="NK2" s="6">
        <v>0.75</v>
      </c>
      <c r="NL2" s="6">
        <v>0.8</v>
      </c>
      <c r="NM2" s="6">
        <v>0.75</v>
      </c>
      <c r="NN2" s="6">
        <v>0.8</v>
      </c>
      <c r="NO2" s="6">
        <v>0.64</v>
      </c>
      <c r="NP2" s="3">
        <v>0.6</v>
      </c>
      <c r="NQ2" s="3">
        <v>0.75</v>
      </c>
      <c r="NR2" s="3">
        <v>3.2</v>
      </c>
      <c r="NS2">
        <v>0.75</v>
      </c>
      <c r="NT2">
        <v>0.75</v>
      </c>
      <c r="NU2">
        <v>0.8</v>
      </c>
      <c r="NV2" s="3">
        <v>0.6</v>
      </c>
      <c r="NW2">
        <v>0.8</v>
      </c>
      <c r="NX2" s="3">
        <v>0.1</v>
      </c>
      <c r="NY2">
        <v>-0.1</v>
      </c>
      <c r="NZ2" s="6">
        <v>5.6947487651181003E-2</v>
      </c>
      <c r="OA2" s="6">
        <v>0.10992772880223101</v>
      </c>
      <c r="OB2" s="6">
        <v>4.6761620588165603E-2</v>
      </c>
      <c r="OC2" s="6">
        <v>4.0684381814701499E-2</v>
      </c>
      <c r="OD2" s="6">
        <v>2.40312533986499E-2</v>
      </c>
      <c r="OE2" s="6">
        <v>4.6135174793806397E-2</v>
      </c>
      <c r="OF2" s="6">
        <v>0.5</v>
      </c>
      <c r="OG2" s="6">
        <v>0.10516377160535401</v>
      </c>
      <c r="OH2" s="6">
        <v>5.5121623013395203E-2</v>
      </c>
      <c r="OI2" s="6">
        <v>0.01</v>
      </c>
      <c r="OJ2" s="6">
        <v>0.01</v>
      </c>
      <c r="OK2" s="6">
        <v>0.01</v>
      </c>
      <c r="OL2" s="6">
        <v>0.01</v>
      </c>
      <c r="OM2" s="6">
        <v>1.33281107617239E-2</v>
      </c>
      <c r="ON2" s="6">
        <v>1.4462371521999501E-2</v>
      </c>
      <c r="OO2" s="6">
        <v>0.5</v>
      </c>
      <c r="OP2" s="6">
        <v>0.1</v>
      </c>
      <c r="OQ2" s="6">
        <v>0.1</v>
      </c>
      <c r="OR2" s="6">
        <v>0.15</v>
      </c>
      <c r="OS2" s="6">
        <v>0.04</v>
      </c>
      <c r="OT2" s="6">
        <v>0.1</v>
      </c>
      <c r="OU2" s="6">
        <v>0.04</v>
      </c>
      <c r="OV2" s="6">
        <v>1</v>
      </c>
      <c r="OW2" s="6">
        <v>0.14000000000000001</v>
      </c>
      <c r="OX2" s="6">
        <v>0.3</v>
      </c>
      <c r="OY2" s="6">
        <v>0.13300000000000001</v>
      </c>
      <c r="OZ2" s="6">
        <v>50</v>
      </c>
      <c r="PA2" s="6">
        <v>1.3376999999999999</v>
      </c>
      <c r="PB2" s="6">
        <v>1.3368169646517301E-2</v>
      </c>
      <c r="PC2" s="6">
        <v>6.1813186813186802E-2</v>
      </c>
      <c r="PD2" s="6">
        <v>0.95550000000000002</v>
      </c>
      <c r="PE2" s="6">
        <v>1.3376999999999999</v>
      </c>
      <c r="PF2" s="6">
        <v>5</v>
      </c>
      <c r="PG2" s="6">
        <v>2.4500000000000001E-2</v>
      </c>
      <c r="PH2" s="6">
        <v>1</v>
      </c>
      <c r="PI2" s="6">
        <v>8</v>
      </c>
      <c r="PJ2">
        <v>28.95</v>
      </c>
      <c r="PK2" s="9">
        <v>2.8000000000000001E-2</v>
      </c>
      <c r="PL2" s="9">
        <v>3.9</v>
      </c>
      <c r="PM2" s="9">
        <v>22.5</v>
      </c>
      <c r="PN2">
        <v>22.96</v>
      </c>
      <c r="PO2" s="9">
        <v>38</v>
      </c>
      <c r="PP2" s="9">
        <v>36.4</v>
      </c>
      <c r="PQ2">
        <v>3.5000000000000001E-3</v>
      </c>
      <c r="PR2" s="3">
        <v>35</v>
      </c>
      <c r="PS2" s="3">
        <v>3.8300000000000001E-2</v>
      </c>
      <c r="PT2">
        <v>8</v>
      </c>
      <c r="PU2" s="3">
        <v>32</v>
      </c>
      <c r="PV2">
        <v>3.8300000000000001E-2</v>
      </c>
      <c r="PW2" s="3">
        <v>38</v>
      </c>
      <c r="PX2" s="3">
        <v>30.58</v>
      </c>
      <c r="PY2" s="3">
        <v>13</v>
      </c>
      <c r="PZ2" s="3">
        <v>23.64</v>
      </c>
      <c r="QA2">
        <v>26.28</v>
      </c>
      <c r="QB2" s="10">
        <v>48</v>
      </c>
      <c r="QC2">
        <v>130.739</v>
      </c>
      <c r="QD2">
        <v>79810000</v>
      </c>
      <c r="QE2" s="3">
        <v>8</v>
      </c>
      <c r="QF2">
        <v>3</v>
      </c>
      <c r="QG2">
        <v>2</v>
      </c>
      <c r="QH2">
        <v>2</v>
      </c>
      <c r="QI2">
        <v>1</v>
      </c>
      <c r="QJ2">
        <v>0.5</v>
      </c>
      <c r="QK2">
        <v>0.25</v>
      </c>
      <c r="QL2">
        <v>0.5</v>
      </c>
      <c r="QM2">
        <v>1</v>
      </c>
      <c r="QN2">
        <v>0.5</v>
      </c>
      <c r="QO2">
        <v>0.2</v>
      </c>
      <c r="QP2">
        <v>0.2</v>
      </c>
      <c r="QQ2">
        <v>0.8</v>
      </c>
      <c r="QR2">
        <v>1.18527760449157E-2</v>
      </c>
      <c r="QS2">
        <v>9.9812850904553892E-3</v>
      </c>
      <c r="QT2">
        <v>0.97816593886462799</v>
      </c>
      <c r="QU2" s="3">
        <v>0.19</v>
      </c>
      <c r="QV2" s="3">
        <v>0.13700000000000001</v>
      </c>
      <c r="QW2" s="3">
        <v>0.30299999999999999</v>
      </c>
      <c r="QX2" s="3">
        <v>0</v>
      </c>
      <c r="QY2" s="3">
        <v>0.216</v>
      </c>
      <c r="QZ2" s="3">
        <v>0.1</v>
      </c>
      <c r="RA2" s="3">
        <v>2.5000000000000001E-2</v>
      </c>
      <c r="RB2" s="3">
        <v>0.05</v>
      </c>
      <c r="RC2" s="3">
        <v>0.2</v>
      </c>
      <c r="RD2" s="3">
        <v>0.04</v>
      </c>
      <c r="RE2" s="3">
        <v>0</v>
      </c>
      <c r="RF2" s="3">
        <v>0</v>
      </c>
      <c r="RG2" s="3">
        <v>7.4999999999999997E-2</v>
      </c>
      <c r="RH2" s="6">
        <v>-999</v>
      </c>
      <c r="RI2" s="6">
        <v>-999</v>
      </c>
      <c r="RJ2" s="6">
        <v>-999</v>
      </c>
      <c r="RK2" s="6">
        <v>-999</v>
      </c>
      <c r="RL2" s="6">
        <v>-999</v>
      </c>
      <c r="RM2" s="6">
        <v>-999</v>
      </c>
      <c r="RN2" s="6">
        <v>-999</v>
      </c>
      <c r="RO2" s="6">
        <v>-999</v>
      </c>
      <c r="RP2" s="6">
        <v>-999</v>
      </c>
      <c r="RQ2" s="6">
        <v>-999</v>
      </c>
      <c r="RR2" s="6">
        <v>-999</v>
      </c>
      <c r="RS2" s="6">
        <v>-999</v>
      </c>
      <c r="RT2" s="6">
        <v>-999</v>
      </c>
      <c r="RU2" s="6">
        <v>-999</v>
      </c>
      <c r="RV2">
        <v>8.6999999999999994E-2</v>
      </c>
      <c r="RW2">
        <v>8.6999999999999994E-2</v>
      </c>
      <c r="RX2">
        <v>0</v>
      </c>
      <c r="RY2">
        <v>1</v>
      </c>
      <c r="RZ2">
        <v>0</v>
      </c>
      <c r="SA2">
        <v>0</v>
      </c>
      <c r="SB2">
        <v>0.11</v>
      </c>
      <c r="SC2">
        <v>0.37</v>
      </c>
      <c r="SD2">
        <v>0</v>
      </c>
      <c r="SE2">
        <v>1.8700000000000001E-2</v>
      </c>
      <c r="SF2">
        <v>3.6385393596653597E-2</v>
      </c>
      <c r="SG2">
        <v>0</v>
      </c>
      <c r="SH2">
        <v>0.2135</v>
      </c>
      <c r="SI2">
        <v>0</v>
      </c>
      <c r="SJ2">
        <v>0</v>
      </c>
      <c r="SK2">
        <v>3.0000000000000001E-3</v>
      </c>
      <c r="SL2">
        <v>0</v>
      </c>
      <c r="SM2">
        <v>2.7E-2</v>
      </c>
      <c r="SN2">
        <v>0.4</v>
      </c>
      <c r="SO2">
        <v>0.04</v>
      </c>
      <c r="SP2">
        <v>0.1</v>
      </c>
      <c r="SQ2">
        <v>0</v>
      </c>
      <c r="SR2">
        <v>1E-3</v>
      </c>
      <c r="SS2">
        <v>0</v>
      </c>
      <c r="ST2">
        <v>0</v>
      </c>
      <c r="SU2">
        <v>0</v>
      </c>
      <c r="SV2">
        <v>0.2</v>
      </c>
      <c r="SW2">
        <v>0.01</v>
      </c>
      <c r="SX2">
        <v>0.02</v>
      </c>
      <c r="SY2">
        <v>0</v>
      </c>
      <c r="SZ2">
        <v>3.8670000000000003E-2</v>
      </c>
      <c r="TA2">
        <v>0</v>
      </c>
      <c r="TB2">
        <v>0</v>
      </c>
      <c r="TC2">
        <v>0.28999999999999998</v>
      </c>
      <c r="TD2">
        <v>0</v>
      </c>
      <c r="TE2">
        <v>0</v>
      </c>
      <c r="TF2">
        <v>0</v>
      </c>
      <c r="TG2">
        <v>0</v>
      </c>
      <c r="TH2">
        <v>0</v>
      </c>
      <c r="TI2">
        <v>0.32</v>
      </c>
      <c r="TJ2">
        <v>0.27</v>
      </c>
      <c r="TK2">
        <v>1.33E-3</v>
      </c>
      <c r="TL2">
        <v>0.08</v>
      </c>
      <c r="TM2">
        <v>3.8670000000000003E-2</v>
      </c>
      <c r="TN2">
        <v>0</v>
      </c>
      <c r="TO2">
        <v>0</v>
      </c>
      <c r="TP2">
        <v>0.28999999999999998</v>
      </c>
      <c r="TQ2">
        <v>0</v>
      </c>
      <c r="TR2">
        <v>0</v>
      </c>
      <c r="TS2">
        <v>0</v>
      </c>
      <c r="TT2">
        <v>0</v>
      </c>
      <c r="TU2">
        <v>0</v>
      </c>
      <c r="TV2">
        <v>0.32</v>
      </c>
      <c r="TW2">
        <v>0.27</v>
      </c>
      <c r="TX2">
        <v>1.33E-3</v>
      </c>
      <c r="TY2">
        <v>0.08</v>
      </c>
      <c r="TZ2">
        <v>0</v>
      </c>
      <c r="UA2">
        <v>0.4</v>
      </c>
      <c r="UB2">
        <v>5.0000000000000001E-4</v>
      </c>
      <c r="UC2">
        <v>1.4E-2</v>
      </c>
      <c r="UD2">
        <v>0</v>
      </c>
      <c r="UE2">
        <v>0</v>
      </c>
      <c r="UF2">
        <v>0</v>
      </c>
      <c r="UG2">
        <v>0</v>
      </c>
      <c r="UH2">
        <v>0</v>
      </c>
      <c r="UI2">
        <v>0.2</v>
      </c>
      <c r="UJ2">
        <v>4.5999999999999999E-2</v>
      </c>
      <c r="UK2">
        <v>1E-3</v>
      </c>
      <c r="UL2">
        <v>0</v>
      </c>
      <c r="UM2">
        <v>0</v>
      </c>
      <c r="UN2">
        <v>0.4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0.2</v>
      </c>
      <c r="UW2">
        <v>0</v>
      </c>
      <c r="UX2">
        <v>0</v>
      </c>
      <c r="UY2">
        <v>1.2E-2</v>
      </c>
      <c r="UZ2">
        <v>0</v>
      </c>
      <c r="VA2">
        <v>0.2</v>
      </c>
      <c r="VB2">
        <v>0</v>
      </c>
      <c r="VC2">
        <v>0.01</v>
      </c>
      <c r="VD2">
        <v>0.2</v>
      </c>
      <c r="VE2">
        <v>0</v>
      </c>
      <c r="VF2">
        <v>0</v>
      </c>
      <c r="VG2">
        <v>0</v>
      </c>
      <c r="VH2">
        <v>0</v>
      </c>
      <c r="VI2">
        <v>0.2</v>
      </c>
      <c r="VJ2">
        <v>0</v>
      </c>
      <c r="VK2">
        <v>1E-3</v>
      </c>
      <c r="VL2">
        <v>0</v>
      </c>
      <c r="VM2">
        <v>0</v>
      </c>
      <c r="VN2">
        <v>0</v>
      </c>
      <c r="VO2">
        <v>1E-3</v>
      </c>
      <c r="VP2">
        <v>2E-3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0.59574468085106302</v>
      </c>
      <c r="VX2">
        <v>0</v>
      </c>
      <c r="VY2">
        <v>0</v>
      </c>
      <c r="VZ2">
        <v>0</v>
      </c>
      <c r="WA2">
        <v>3.7999999999999999E-2</v>
      </c>
      <c r="WB2">
        <v>0</v>
      </c>
      <c r="WC2">
        <v>0.23</v>
      </c>
      <c r="WD2">
        <v>0.14399999999999999</v>
      </c>
      <c r="WE2">
        <v>0</v>
      </c>
      <c r="WF2">
        <v>0</v>
      </c>
      <c r="WG2">
        <v>0</v>
      </c>
      <c r="WH2">
        <v>0</v>
      </c>
      <c r="WI2">
        <v>2.8000000000000001E-2</v>
      </c>
      <c r="WJ2">
        <v>0.32</v>
      </c>
      <c r="WK2">
        <v>0.27</v>
      </c>
      <c r="WL2">
        <v>1E-3</v>
      </c>
      <c r="WM2">
        <v>0.5</v>
      </c>
      <c r="WN2">
        <v>0</v>
      </c>
      <c r="WO2">
        <v>0</v>
      </c>
      <c r="WP2">
        <v>0</v>
      </c>
      <c r="WQ2">
        <v>7.6E-3</v>
      </c>
      <c r="WR2">
        <v>0</v>
      </c>
      <c r="WS2">
        <v>0</v>
      </c>
      <c r="WT2">
        <v>0</v>
      </c>
      <c r="WU2">
        <v>0</v>
      </c>
      <c r="WV2">
        <v>0</v>
      </c>
      <c r="WW2">
        <v>0.32</v>
      </c>
      <c r="WX2">
        <v>0</v>
      </c>
      <c r="WY2">
        <v>1E-3</v>
      </c>
      <c r="WZ2">
        <v>0.03</v>
      </c>
      <c r="XA2">
        <v>0</v>
      </c>
      <c r="XB2">
        <v>0</v>
      </c>
      <c r="XC2">
        <v>0</v>
      </c>
      <c r="XD2">
        <v>1.9E-2</v>
      </c>
      <c r="XE2">
        <v>0</v>
      </c>
      <c r="XF2">
        <v>0</v>
      </c>
      <c r="XG2">
        <v>0</v>
      </c>
      <c r="XH2">
        <v>0</v>
      </c>
      <c r="XI2">
        <v>0</v>
      </c>
      <c r="XJ2">
        <v>0.32</v>
      </c>
      <c r="XK2">
        <v>0</v>
      </c>
      <c r="XL2">
        <v>1E-3</v>
      </c>
      <c r="XM2">
        <v>0</v>
      </c>
      <c r="XN2">
        <v>0</v>
      </c>
      <c r="XO2">
        <v>0</v>
      </c>
      <c r="XP2">
        <v>5.0000000000000001E-4</v>
      </c>
      <c r="XQ2">
        <v>1.4E-2</v>
      </c>
      <c r="XR2">
        <v>0</v>
      </c>
      <c r="XS2">
        <v>0</v>
      </c>
      <c r="XT2">
        <v>0</v>
      </c>
      <c r="XU2">
        <v>0</v>
      </c>
      <c r="XV2">
        <v>0</v>
      </c>
      <c r="XW2">
        <v>0.32</v>
      </c>
      <c r="XX2">
        <v>4.5999999999999999E-2</v>
      </c>
      <c r="XY2">
        <v>1E-3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0.32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7.6E-3</v>
      </c>
      <c r="YR2">
        <v>0</v>
      </c>
      <c r="YS2">
        <v>0</v>
      </c>
      <c r="YT2">
        <v>0</v>
      </c>
      <c r="YU2">
        <v>0</v>
      </c>
      <c r="YV2">
        <v>0</v>
      </c>
      <c r="YW2">
        <v>0.32</v>
      </c>
      <c r="YX2">
        <v>0</v>
      </c>
      <c r="YY2">
        <v>1E-3</v>
      </c>
      <c r="YZ2">
        <v>0.03</v>
      </c>
      <c r="ZA2">
        <v>0</v>
      </c>
      <c r="ZB2">
        <v>0</v>
      </c>
      <c r="ZC2">
        <v>0</v>
      </c>
      <c r="ZD2">
        <v>3.8E-3</v>
      </c>
      <c r="ZE2">
        <v>0</v>
      </c>
      <c r="ZF2">
        <v>0</v>
      </c>
      <c r="ZG2">
        <v>0</v>
      </c>
      <c r="ZH2">
        <v>0</v>
      </c>
      <c r="ZI2">
        <v>0</v>
      </c>
      <c r="ZJ2">
        <v>0.32</v>
      </c>
      <c r="ZK2">
        <v>0</v>
      </c>
      <c r="ZL2">
        <v>1E-3</v>
      </c>
      <c r="ZM2">
        <v>0</v>
      </c>
      <c r="ZN2">
        <v>0</v>
      </c>
      <c r="ZO2">
        <v>0</v>
      </c>
      <c r="ZP2">
        <v>1E-3</v>
      </c>
      <c r="ZQ2">
        <v>2.6599999999999999E-2</v>
      </c>
      <c r="ZR2">
        <v>0</v>
      </c>
      <c r="ZS2">
        <v>0</v>
      </c>
      <c r="ZT2">
        <v>0</v>
      </c>
      <c r="ZU2">
        <v>0</v>
      </c>
      <c r="ZV2">
        <v>0</v>
      </c>
      <c r="ZW2">
        <v>0.32</v>
      </c>
      <c r="ZX2">
        <v>7.0000000000000007E-2</v>
      </c>
      <c r="ZY2">
        <v>1E-3</v>
      </c>
      <c r="ZZ2">
        <v>0.8</v>
      </c>
      <c r="AAA2">
        <v>0.03</v>
      </c>
      <c r="AAB2">
        <v>0</v>
      </c>
      <c r="AAC2">
        <v>0.01</v>
      </c>
      <c r="AAD2">
        <v>7.6E-3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0.32</v>
      </c>
      <c r="AAK2">
        <v>0.05</v>
      </c>
      <c r="AAL2">
        <v>1E-3</v>
      </c>
      <c r="AAM2">
        <v>0.03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0.32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1E-3</v>
      </c>
      <c r="ABD2">
        <v>2.5999999999999999E-2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0.32</v>
      </c>
      <c r="ABK2">
        <v>0.05</v>
      </c>
      <c r="ABL2">
        <v>1E-3</v>
      </c>
      <c r="ABM2">
        <v>0.05</v>
      </c>
      <c r="ABN2">
        <v>0.03</v>
      </c>
      <c r="ABO2">
        <v>0</v>
      </c>
      <c r="ABP2">
        <v>0.01</v>
      </c>
      <c r="ABQ2">
        <v>7.6E-3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0.32</v>
      </c>
      <c r="ABX2">
        <v>0.05</v>
      </c>
      <c r="ABY2">
        <v>1E-3</v>
      </c>
      <c r="ABZ2">
        <v>0.03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0.32</v>
      </c>
      <c r="ACK2">
        <v>0</v>
      </c>
      <c r="ACL2">
        <v>0</v>
      </c>
      <c r="ACM2">
        <v>0</v>
      </c>
      <c r="ACN2">
        <v>0.95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0.22</v>
      </c>
      <c r="ACX2">
        <v>0</v>
      </c>
      <c r="ACY2">
        <v>0</v>
      </c>
      <c r="ACZ2">
        <v>0</v>
      </c>
      <c r="ADA2">
        <v>0.1</v>
      </c>
      <c r="ADB2">
        <v>0.10100000000000001</v>
      </c>
      <c r="ADC2">
        <v>0.1</v>
      </c>
      <c r="ADD2" s="12">
        <v>6.0000000000000001E-3</v>
      </c>
      <c r="ADE2" s="12">
        <v>0.34200000000000003</v>
      </c>
      <c r="ADF2" s="12">
        <v>0.28000000000000003</v>
      </c>
      <c r="ADG2" s="12">
        <v>0.34200000000000003</v>
      </c>
      <c r="ADH2" s="12">
        <v>0</v>
      </c>
      <c r="ADI2" s="12">
        <v>0</v>
      </c>
      <c r="ADJ2" s="12">
        <v>0</v>
      </c>
      <c r="ADK2" s="12">
        <v>0.03</v>
      </c>
      <c r="ADL2" s="12">
        <v>0</v>
      </c>
      <c r="ADM2">
        <v>0</v>
      </c>
      <c r="ADN2">
        <v>0</v>
      </c>
      <c r="ADO2">
        <v>0.38</v>
      </c>
      <c r="ADP2">
        <v>0</v>
      </c>
      <c r="ADQ2">
        <v>0</v>
      </c>
      <c r="ADR2">
        <v>0</v>
      </c>
      <c r="ADS2">
        <v>0.41</v>
      </c>
      <c r="ADT2">
        <v>0.06</v>
      </c>
      <c r="ADU2">
        <v>0.5</v>
      </c>
      <c r="ADV2">
        <v>0</v>
      </c>
      <c r="ADW2">
        <v>0</v>
      </c>
      <c r="ADX2">
        <v>1</v>
      </c>
      <c r="ADY2">
        <v>1E-3</v>
      </c>
      <c r="ADZ2">
        <v>0.5</v>
      </c>
      <c r="AEA2">
        <v>0</v>
      </c>
      <c r="AEB2">
        <v>0.73</v>
      </c>
      <c r="AEC2">
        <v>0</v>
      </c>
      <c r="AED2">
        <v>0.5</v>
      </c>
      <c r="AEE2">
        <v>0</v>
      </c>
      <c r="AEF2">
        <v>0</v>
      </c>
      <c r="AEG2">
        <v>0.28999999999999998</v>
      </c>
      <c r="AEH2">
        <v>1.0999999999999999E-2</v>
      </c>
      <c r="AEI2">
        <v>1E-3</v>
      </c>
      <c r="AEJ2">
        <v>0</v>
      </c>
      <c r="AEK2">
        <v>0</v>
      </c>
      <c r="AEL2">
        <v>1.0999999999999999E-2</v>
      </c>
      <c r="AEM2">
        <v>0.02</v>
      </c>
      <c r="AEN2">
        <v>0</v>
      </c>
      <c r="AEO2">
        <v>0</v>
      </c>
      <c r="AEP2">
        <v>0</v>
      </c>
      <c r="AEQ2">
        <v>0.53200000000000003</v>
      </c>
      <c r="AER2">
        <v>0</v>
      </c>
      <c r="AES2">
        <v>0</v>
      </c>
      <c r="AET2">
        <v>0</v>
      </c>
      <c r="AEU2">
        <v>0</v>
      </c>
      <c r="AEV2">
        <v>0.02</v>
      </c>
      <c r="AEW2">
        <v>0.01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0.04</v>
      </c>
      <c r="AFD2">
        <v>5.0000000000000001E-3</v>
      </c>
      <c r="AFE2">
        <v>0.46800000000000003</v>
      </c>
      <c r="AFF2">
        <v>0</v>
      </c>
      <c r="AFG2">
        <v>0.54600000000000004</v>
      </c>
      <c r="AFH2">
        <v>0</v>
      </c>
      <c r="AFI2">
        <v>1E-3</v>
      </c>
      <c r="AFJ2">
        <v>0</v>
      </c>
      <c r="AFK2">
        <v>0</v>
      </c>
      <c r="AFL2">
        <v>0</v>
      </c>
      <c r="AFM2">
        <v>0.02</v>
      </c>
      <c r="AFN2">
        <v>2E-3</v>
      </c>
      <c r="AFO2">
        <v>0.03</v>
      </c>
      <c r="AFP2">
        <v>0.99</v>
      </c>
      <c r="AFQ2">
        <v>0</v>
      </c>
      <c r="AFR2">
        <v>0</v>
      </c>
      <c r="AFS2">
        <v>0.26400000000000001</v>
      </c>
      <c r="AFT2">
        <v>0.28000000000000003</v>
      </c>
      <c r="AFU2">
        <v>0.19800000000000001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0.37380000000000002</v>
      </c>
      <c r="AGC2">
        <v>0.26700000000000002</v>
      </c>
      <c r="AGD2">
        <v>60</v>
      </c>
      <c r="AGE2">
        <v>3.5</v>
      </c>
      <c r="AGF2">
        <v>3.8</v>
      </c>
      <c r="AGG2">
        <v>2.6753999999999998</v>
      </c>
      <c r="AGH2">
        <v>2.474745</v>
      </c>
      <c r="AGI2">
        <v>3.746</v>
      </c>
      <c r="AGJ2">
        <v>3.5</v>
      </c>
      <c r="AGK2">
        <v>0.28999999999999998</v>
      </c>
      <c r="AGL2">
        <v>0.10199999999999999</v>
      </c>
      <c r="AGM2">
        <v>0.1</v>
      </c>
      <c r="AGN2">
        <v>0.28999999999999998</v>
      </c>
      <c r="AGO2">
        <v>0.224</v>
      </c>
      <c r="AGP2">
        <v>0.21</v>
      </c>
      <c r="AGQ2">
        <v>2.5</v>
      </c>
      <c r="AGR2">
        <v>3</v>
      </c>
      <c r="AGS2">
        <v>1.911</v>
      </c>
      <c r="AGT2">
        <v>1.7676750000000001</v>
      </c>
      <c r="AGU2">
        <v>0.26800000000000002</v>
      </c>
      <c r="AGV2">
        <v>2.5</v>
      </c>
      <c r="AGW2">
        <v>3.5</v>
      </c>
      <c r="AGX2">
        <v>3.8219999999999898</v>
      </c>
      <c r="AGY2">
        <v>2.6753999999999998</v>
      </c>
      <c r="AGZ2">
        <v>2.474745</v>
      </c>
      <c r="AHA2">
        <v>3.746</v>
      </c>
      <c r="AHB2">
        <v>3.5</v>
      </c>
      <c r="AHC2">
        <v>11</v>
      </c>
      <c r="AHD2">
        <v>13</v>
      </c>
      <c r="AHE2">
        <v>16</v>
      </c>
      <c r="AHF2">
        <v>9.25</v>
      </c>
      <c r="AHG2">
        <v>14</v>
      </c>
      <c r="AHH2">
        <v>7.0000000000000007E-2</v>
      </c>
      <c r="AHI2">
        <v>1.02</v>
      </c>
      <c r="AHJ2">
        <v>0.1</v>
      </c>
      <c r="AHK2">
        <v>0.9</v>
      </c>
      <c r="AHL2">
        <v>0.9</v>
      </c>
      <c r="AHM2">
        <v>0.9</v>
      </c>
      <c r="AHN2">
        <v>0.9</v>
      </c>
      <c r="AHO2">
        <v>0.9</v>
      </c>
      <c r="AHP2">
        <v>0.9</v>
      </c>
      <c r="AHQ2">
        <v>74.144999999999996</v>
      </c>
      <c r="AHR2">
        <v>12.858000000000001</v>
      </c>
      <c r="AHS2">
        <v>18.535</v>
      </c>
      <c r="AHT2">
        <v>2.2360000000000002</v>
      </c>
      <c r="AHU2">
        <v>0.4</v>
      </c>
      <c r="AHV2">
        <v>0.6</v>
      </c>
      <c r="AHW2">
        <v>0.9</v>
      </c>
      <c r="AHX2">
        <v>0.45</v>
      </c>
      <c r="AHY2">
        <v>0</v>
      </c>
      <c r="AHZ2">
        <v>1316</v>
      </c>
      <c r="AIA2">
        <v>105</v>
      </c>
      <c r="AIB2">
        <v>11520</v>
      </c>
      <c r="AIC2">
        <v>150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-999</v>
      </c>
      <c r="AIQ2">
        <v>-999</v>
      </c>
      <c r="AIR2">
        <v>-999</v>
      </c>
      <c r="AIS2">
        <v>-999</v>
      </c>
      <c r="AIT2">
        <v>-999</v>
      </c>
      <c r="AIU2">
        <v>-999</v>
      </c>
      <c r="AIV2">
        <v>-999</v>
      </c>
      <c r="AIW2">
        <v>-999</v>
      </c>
      <c r="AIX2">
        <v>-999</v>
      </c>
      <c r="AIY2">
        <v>-999</v>
      </c>
      <c r="AIZ2">
        <v>-999</v>
      </c>
      <c r="AJA2">
        <v>-999</v>
      </c>
      <c r="AJB2">
        <v>1200</v>
      </c>
      <c r="AJC2">
        <v>800</v>
      </c>
      <c r="AJD2">
        <v>800</v>
      </c>
      <c r="AJE2">
        <v>4335</v>
      </c>
      <c r="AJF2">
        <v>4525</v>
      </c>
      <c r="AJG2">
        <v>6625</v>
      </c>
      <c r="AJH2">
        <v>4074</v>
      </c>
      <c r="AJI2">
        <v>2845</v>
      </c>
      <c r="AJJ2">
        <v>1131.5</v>
      </c>
      <c r="AJK2">
        <v>3076</v>
      </c>
      <c r="AJL2">
        <v>3083</v>
      </c>
      <c r="AJM2">
        <v>7289</v>
      </c>
      <c r="AJN2">
        <v>3998</v>
      </c>
      <c r="AJO2">
        <v>3998</v>
      </c>
      <c r="AJP2">
        <v>850</v>
      </c>
      <c r="AJQ2">
        <v>3678</v>
      </c>
      <c r="AJR2">
        <v>3880</v>
      </c>
      <c r="AJS2">
        <v>167.02500000000001</v>
      </c>
      <c r="AJT2">
        <v>74.266037735848997</v>
      </c>
      <c r="AJU2" s="1">
        <v>3.358E-5</v>
      </c>
      <c r="AJV2">
        <v>1.0099</v>
      </c>
      <c r="AJW2" s="1">
        <v>5.8769999999999998E-6</v>
      </c>
      <c r="AJX2">
        <v>2.6086956521739101E-4</v>
      </c>
      <c r="AJY2">
        <v>6.3739130434782503</v>
      </c>
      <c r="AJZ2" s="1">
        <v>5.2173913043478202E-5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0.1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0.1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  <c r="ALO2">
        <v>1</v>
      </c>
      <c r="ALP2">
        <v>1</v>
      </c>
      <c r="ALQ2">
        <v>300</v>
      </c>
      <c r="ALR2">
        <v>150</v>
      </c>
      <c r="ALS2">
        <v>150</v>
      </c>
      <c r="ALT2">
        <v>151.72999999999999</v>
      </c>
      <c r="ALU2">
        <v>131.62</v>
      </c>
      <c r="ALV2">
        <v>62.34</v>
      </c>
      <c r="ALW2">
        <v>42.49</v>
      </c>
      <c r="ALX2">
        <v>28.89</v>
      </c>
      <c r="ALY2">
        <v>13.77</v>
      </c>
      <c r="ALZ2">
        <v>143.22</v>
      </c>
      <c r="AMA2">
        <v>43.78</v>
      </c>
      <c r="AMB2">
        <v>113.41</v>
      </c>
      <c r="AMC2">
        <v>71.94</v>
      </c>
      <c r="AMD2">
        <v>71.94</v>
      </c>
      <c r="AME2">
        <v>24.82</v>
      </c>
      <c r="AMF2">
        <v>24.26</v>
      </c>
      <c r="AMG2">
        <v>71.37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0.3</v>
      </c>
      <c r="AMN2">
        <v>0</v>
      </c>
      <c r="AMO2">
        <v>0</v>
      </c>
      <c r="AMP2">
        <v>0</v>
      </c>
      <c r="AMQ2">
        <v>0</v>
      </c>
      <c r="AMR2">
        <v>0.3</v>
      </c>
      <c r="AMS2">
        <v>0</v>
      </c>
      <c r="AMT2">
        <v>0</v>
      </c>
      <c r="AMU2">
        <v>0</v>
      </c>
      <c r="AMV2">
        <v>0.1</v>
      </c>
      <c r="AMW2">
        <v>0</v>
      </c>
      <c r="AMX2">
        <v>0.1</v>
      </c>
      <c r="AMY2">
        <v>1.3034433554879601</v>
      </c>
      <c r="AMZ2">
        <v>0</v>
      </c>
      <c r="ANA2">
        <v>1.9670000000000001</v>
      </c>
      <c r="ANB2">
        <v>0</v>
      </c>
      <c r="ANC2">
        <v>0</v>
      </c>
      <c r="AND2">
        <v>1.3149999999999999</v>
      </c>
      <c r="ANE2">
        <v>0</v>
      </c>
      <c r="ANF2">
        <v>8.8768668407310704E-3</v>
      </c>
      <c r="ANG2">
        <v>1</v>
      </c>
      <c r="ANH2">
        <v>1.0869565217391299</v>
      </c>
      <c r="ANI2">
        <v>0</v>
      </c>
      <c r="ANJ2">
        <v>1.00230179028132</v>
      </c>
      <c r="ANK2">
        <v>7.8260869565217606E-3</v>
      </c>
      <c r="ANL2">
        <v>7.3657289002557703E-3</v>
      </c>
      <c r="ANM2">
        <v>4.6035805626598499E-4</v>
      </c>
      <c r="ANN2">
        <v>5.0639386189258399E-3</v>
      </c>
      <c r="ANO2">
        <v>0</v>
      </c>
      <c r="ANP2">
        <v>3.7634408602150601E-2</v>
      </c>
      <c r="ANQ2">
        <v>3.5420619860847602E-2</v>
      </c>
      <c r="ANR2">
        <v>2.2137887413029699E-3</v>
      </c>
      <c r="ANS2">
        <v>0</v>
      </c>
      <c r="ANT2">
        <v>0</v>
      </c>
      <c r="ANU2">
        <v>4.0540540540540397E-2</v>
      </c>
      <c r="ANV2">
        <v>3.8155802861685101E-2</v>
      </c>
      <c r="ANW2">
        <v>2.3847376788553201E-3</v>
      </c>
      <c r="ANX2">
        <v>0</v>
      </c>
      <c r="ANY2">
        <v>0</v>
      </c>
      <c r="ANZ2">
        <v>1</v>
      </c>
      <c r="AOA2">
        <v>1</v>
      </c>
      <c r="AOB2">
        <v>1</v>
      </c>
      <c r="AOC2">
        <v>2.76E-2</v>
      </c>
      <c r="AOD2">
        <v>0.94899999999999995</v>
      </c>
      <c r="AOE2">
        <v>0.2969</v>
      </c>
      <c r="AOF2">
        <v>0.47910000000000003</v>
      </c>
      <c r="AOG2">
        <v>0.04</v>
      </c>
      <c r="AOH2">
        <v>8.5949999999999999E-2</v>
      </c>
      <c r="AOI2">
        <v>1.405E-2</v>
      </c>
      <c r="AOJ2">
        <v>1</v>
      </c>
      <c r="AOK2">
        <v>1</v>
      </c>
      <c r="AOL2">
        <v>1</v>
      </c>
      <c r="AOM2">
        <v>0</v>
      </c>
      <c r="AON2">
        <v>1</v>
      </c>
      <c r="AOO2">
        <v>0</v>
      </c>
      <c r="AOP2">
        <v>0</v>
      </c>
      <c r="AOQ2">
        <v>0</v>
      </c>
      <c r="AOR2">
        <v>0</v>
      </c>
      <c r="AOS2">
        <v>1</v>
      </c>
      <c r="AOT2">
        <v>1</v>
      </c>
      <c r="AOU2">
        <v>0</v>
      </c>
      <c r="AOV2">
        <v>1</v>
      </c>
      <c r="AOW2">
        <v>0</v>
      </c>
      <c r="AOX2">
        <v>1</v>
      </c>
      <c r="AOY2">
        <v>0</v>
      </c>
      <c r="AOZ2">
        <v>1</v>
      </c>
      <c r="APA2">
        <v>1</v>
      </c>
      <c r="APB2">
        <v>1</v>
      </c>
      <c r="APC2">
        <v>1</v>
      </c>
      <c r="APD2">
        <v>1</v>
      </c>
      <c r="APE2">
        <v>1.1499999999999999</v>
      </c>
      <c r="APF2">
        <v>0</v>
      </c>
      <c r="APG2">
        <v>1</v>
      </c>
      <c r="APH2">
        <v>0</v>
      </c>
      <c r="API2">
        <v>1</v>
      </c>
      <c r="APJ2">
        <v>1</v>
      </c>
      <c r="APK2">
        <v>1</v>
      </c>
      <c r="APL2">
        <v>1</v>
      </c>
      <c r="APM2">
        <v>1</v>
      </c>
      <c r="APN2">
        <v>1</v>
      </c>
      <c r="APO2">
        <v>1</v>
      </c>
      <c r="APP2">
        <v>1</v>
      </c>
      <c r="APQ2">
        <v>0.5</v>
      </c>
      <c r="APR2">
        <v>0</v>
      </c>
      <c r="APS2">
        <v>1</v>
      </c>
      <c r="APT2">
        <v>0.25</v>
      </c>
      <c r="APU2">
        <v>0.25</v>
      </c>
      <c r="APV2">
        <v>0.25</v>
      </c>
      <c r="APW2">
        <v>0.25</v>
      </c>
      <c r="APX2">
        <v>0</v>
      </c>
      <c r="APY2">
        <v>0.5</v>
      </c>
      <c r="APZ2">
        <v>0</v>
      </c>
      <c r="AQA2">
        <v>0</v>
      </c>
      <c r="AQB2">
        <v>0</v>
      </c>
      <c r="AQC2">
        <v>0</v>
      </c>
      <c r="AQD2">
        <v>198.95</v>
      </c>
      <c r="AQE2">
        <v>0.4</v>
      </c>
      <c r="AQF2">
        <v>0</v>
      </c>
      <c r="AQG2">
        <v>0</v>
      </c>
      <c r="AQH2">
        <v>0</v>
      </c>
      <c r="AQI2">
        <v>3</v>
      </c>
      <c r="AQJ2">
        <v>0</v>
      </c>
      <c r="AQK2">
        <v>25</v>
      </c>
      <c r="AQL2">
        <v>0</v>
      </c>
      <c r="AQM2">
        <v>-999</v>
      </c>
      <c r="AQN2">
        <v>-999</v>
      </c>
      <c r="AQO2">
        <v>-999</v>
      </c>
      <c r="AQP2">
        <v>-999</v>
      </c>
      <c r="AQQ2">
        <v>-999</v>
      </c>
      <c r="AQR2">
        <v>-999</v>
      </c>
      <c r="AQS2">
        <v>-999</v>
      </c>
      <c r="AQT2">
        <v>-999</v>
      </c>
      <c r="AQU2">
        <v>-999</v>
      </c>
      <c r="AQV2">
        <v>-999</v>
      </c>
      <c r="AQW2">
        <v>-999</v>
      </c>
      <c r="AQX2">
        <v>-999</v>
      </c>
      <c r="AQY2">
        <v>-999</v>
      </c>
      <c r="AQZ2">
        <v>0</v>
      </c>
      <c r="ARA2">
        <v>-999</v>
      </c>
      <c r="ARB2">
        <v>-999</v>
      </c>
      <c r="ARC2">
        <v>-999</v>
      </c>
      <c r="ARD2">
        <v>-999</v>
      </c>
      <c r="ARE2">
        <v>-999</v>
      </c>
      <c r="ARF2">
        <v>-999</v>
      </c>
      <c r="ARG2">
        <v>-999</v>
      </c>
      <c r="ARH2">
        <v>-999</v>
      </c>
      <c r="ARI2">
        <v>-999</v>
      </c>
      <c r="ARJ2">
        <v>-999</v>
      </c>
      <c r="ARK2">
        <v>-999</v>
      </c>
      <c r="ARL2">
        <v>-999</v>
      </c>
      <c r="ARM2">
        <v>-999</v>
      </c>
      <c r="ARN2">
        <v>-999</v>
      </c>
      <c r="ARO2">
        <v>-999</v>
      </c>
      <c r="ARP2">
        <v>-999</v>
      </c>
      <c r="ARQ2">
        <v>-999</v>
      </c>
      <c r="ARR2">
        <v>-999</v>
      </c>
      <c r="ARS2">
        <v>-999</v>
      </c>
      <c r="ART2">
        <v>-999</v>
      </c>
      <c r="ARU2">
        <v>-999</v>
      </c>
      <c r="ARV2">
        <v>-999</v>
      </c>
      <c r="ARW2">
        <v>-999</v>
      </c>
      <c r="ARX2">
        <v>-999</v>
      </c>
      <c r="ARY2">
        <v>-999</v>
      </c>
      <c r="ARZ2">
        <v>-999</v>
      </c>
      <c r="ASA2">
        <v>-999</v>
      </c>
      <c r="ASB2">
        <v>-999</v>
      </c>
      <c r="ASC2">
        <v>-999</v>
      </c>
      <c r="ASD2">
        <v>-999</v>
      </c>
      <c r="ASE2">
        <v>-999</v>
      </c>
      <c r="ASF2">
        <v>-999</v>
      </c>
      <c r="ASG2">
        <v>-999</v>
      </c>
      <c r="ASH2">
        <v>-999</v>
      </c>
      <c r="ASI2">
        <v>-999</v>
      </c>
      <c r="ASJ2">
        <v>-999</v>
      </c>
      <c r="ASK2">
        <v>-999</v>
      </c>
      <c r="ASL2">
        <v>-999</v>
      </c>
      <c r="ASM2">
        <v>-999</v>
      </c>
      <c r="ASN2">
        <v>-999</v>
      </c>
      <c r="ASO2">
        <v>-999</v>
      </c>
      <c r="ASP2">
        <v>4.51</v>
      </c>
      <c r="ASQ2">
        <v>133</v>
      </c>
      <c r="ASR2">
        <v>11.49</v>
      </c>
      <c r="ASS2">
        <v>78.8</v>
      </c>
      <c r="AST2">
        <v>6.11</v>
      </c>
      <c r="ASU2">
        <v>2.3199999999999998</v>
      </c>
      <c r="ASV2">
        <v>1.21</v>
      </c>
      <c r="ASW2">
        <v>26</v>
      </c>
      <c r="ASX2">
        <v>2.81</v>
      </c>
      <c r="ASY2">
        <v>3.22</v>
      </c>
      <c r="ASZ2">
        <v>183.3</v>
      </c>
      <c r="ATA2">
        <v>30</v>
      </c>
      <c r="ATB2">
        <v>120</v>
      </c>
      <c r="ATC2">
        <v>40</v>
      </c>
      <c r="ATD2">
        <v>0.3</v>
      </c>
      <c r="ATE2">
        <v>1.55</v>
      </c>
      <c r="ATF2">
        <v>0</v>
      </c>
      <c r="ATG2">
        <v>1.8140000000000001</v>
      </c>
      <c r="ATH2">
        <v>500</v>
      </c>
      <c r="ATI2">
        <v>250</v>
      </c>
      <c r="ATJ2">
        <v>1</v>
      </c>
      <c r="ATK2">
        <v>2</v>
      </c>
      <c r="ATL2">
        <v>70</v>
      </c>
      <c r="ATM2">
        <v>470</v>
      </c>
      <c r="ATN2">
        <v>15</v>
      </c>
      <c r="ATO2">
        <v>2.8</v>
      </c>
      <c r="ATP2">
        <v>15</v>
      </c>
      <c r="ATQ2">
        <v>3.7</v>
      </c>
      <c r="ATR2" s="15">
        <v>179608432</v>
      </c>
      <c r="ATS2" s="15">
        <v>4220157</v>
      </c>
      <c r="ATT2">
        <v>100000</v>
      </c>
      <c r="ATU2">
        <v>80000</v>
      </c>
      <c r="ATV2">
        <v>5000</v>
      </c>
      <c r="ATW2">
        <v>14000</v>
      </c>
      <c r="ATX2">
        <v>1400</v>
      </c>
      <c r="ATY2">
        <v>10000</v>
      </c>
      <c r="ATZ2">
        <v>108</v>
      </c>
      <c r="AUA2">
        <v>105000</v>
      </c>
      <c r="AUB2">
        <v>100000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5000</v>
      </c>
      <c r="AUJ2">
        <v>400000</v>
      </c>
      <c r="AUK2">
        <v>1424850.75</v>
      </c>
      <c r="AUL2">
        <v>0</v>
      </c>
      <c r="AUM2">
        <v>0.9</v>
      </c>
      <c r="AUN2">
        <v>1.2</v>
      </c>
      <c r="AUO2">
        <v>0.01</v>
      </c>
      <c r="AUP2">
        <v>2.6</v>
      </c>
      <c r="AUQ2">
        <v>0</v>
      </c>
      <c r="AUR2">
        <v>7.8</v>
      </c>
      <c r="AUS2">
        <v>0.6</v>
      </c>
      <c r="AUT2">
        <v>6</v>
      </c>
      <c r="AUU2">
        <v>0</v>
      </c>
      <c r="AUV2">
        <v>0</v>
      </c>
      <c r="AUW2">
        <v>0</v>
      </c>
      <c r="AUX2">
        <v>0</v>
      </c>
      <c r="AUY2">
        <v>0.1</v>
      </c>
      <c r="AUZ2">
        <v>2</v>
      </c>
      <c r="AVA2">
        <v>4</v>
      </c>
      <c r="AVB2">
        <v>0.6</v>
      </c>
      <c r="AVC2">
        <v>0.5</v>
      </c>
      <c r="AVD2">
        <v>0.95</v>
      </c>
      <c r="AVE2">
        <v>1</v>
      </c>
      <c r="AVF2">
        <v>1</v>
      </c>
      <c r="AVG2">
        <v>1</v>
      </c>
      <c r="AVH2">
        <v>1</v>
      </c>
      <c r="AVI2">
        <v>1</v>
      </c>
      <c r="AVJ2">
        <v>1</v>
      </c>
      <c r="AVK2">
        <v>1</v>
      </c>
      <c r="AVL2">
        <v>1</v>
      </c>
      <c r="AVM2">
        <v>1</v>
      </c>
      <c r="AVN2">
        <v>1</v>
      </c>
      <c r="AVO2">
        <v>1</v>
      </c>
      <c r="AVP2">
        <v>1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60</v>
      </c>
      <c r="AWF2">
        <v>5</v>
      </c>
      <c r="AWG2">
        <v>4.5</v>
      </c>
      <c r="AWH2">
        <v>74.14</v>
      </c>
      <c r="AWI2">
        <v>14.57</v>
      </c>
      <c r="AWJ2">
        <v>14.57</v>
      </c>
      <c r="AWK2">
        <v>0.45</v>
      </c>
      <c r="AWL2">
        <v>25</v>
      </c>
      <c r="AWM2">
        <v>2</v>
      </c>
      <c r="AWN2">
        <v>1</v>
      </c>
      <c r="AWO2">
        <v>4</v>
      </c>
      <c r="AWP2">
        <v>25</v>
      </c>
      <c r="AWQ2">
        <v>5</v>
      </c>
      <c r="AWR2">
        <v>19</v>
      </c>
      <c r="AWS2">
        <v>25</v>
      </c>
      <c r="AWT2">
        <v>2</v>
      </c>
      <c r="AWU2">
        <v>3.4</v>
      </c>
      <c r="AWV2">
        <v>3</v>
      </c>
      <c r="AWW2">
        <v>4</v>
      </c>
      <c r="AWX2">
        <v>16</v>
      </c>
      <c r="AWY2">
        <v>16</v>
      </c>
      <c r="AWZ2">
        <v>25</v>
      </c>
      <c r="AXA2">
        <v>25</v>
      </c>
      <c r="AXB2">
        <v>25</v>
      </c>
    </row>
    <row r="3" spans="1:1302" x14ac:dyDescent="0.3">
      <c r="FJ3" s="1"/>
      <c r="FK3" s="1"/>
      <c r="FL3" s="1"/>
      <c r="FN3" s="1"/>
      <c r="FO3" s="1"/>
      <c r="FQ3" s="1"/>
      <c r="FS3" s="1"/>
      <c r="FT3" s="1"/>
      <c r="FU3" s="1"/>
      <c r="FX3" s="1"/>
      <c r="GA3" s="1"/>
      <c r="GC3" s="1"/>
      <c r="GD3" s="1"/>
      <c r="GL3" s="1"/>
      <c r="GM3" s="1"/>
      <c r="GN3" s="1"/>
      <c r="GO3" s="1"/>
      <c r="GQ3" s="1"/>
      <c r="GU3" s="1"/>
      <c r="GV3" s="1"/>
      <c r="HC3" s="1"/>
      <c r="HM3" s="1"/>
      <c r="HN3" s="1"/>
      <c r="HR3" s="1"/>
      <c r="HW3" s="1"/>
      <c r="ID3" s="1"/>
      <c r="IV3" s="1"/>
      <c r="JK3" s="1"/>
      <c r="JL3" s="1"/>
      <c r="JM3" s="1"/>
      <c r="ADQ3" s="13"/>
      <c r="AJU3" s="1"/>
      <c r="AJW3" s="1"/>
      <c r="AJZ3" s="1"/>
    </row>
    <row r="4" spans="1:1302" x14ac:dyDescent="0.3">
      <c r="FJ4" s="1"/>
      <c r="FK4" s="1"/>
      <c r="FL4" s="1"/>
      <c r="FN4" s="1"/>
      <c r="FO4" s="1"/>
      <c r="FQ4" s="1"/>
      <c r="FS4" s="1"/>
      <c r="FT4" s="1"/>
      <c r="FU4" s="1"/>
      <c r="FX4" s="1"/>
      <c r="GA4" s="1"/>
      <c r="GC4" s="1"/>
      <c r="GD4" s="1"/>
      <c r="GL4" s="1"/>
      <c r="GM4" s="1"/>
      <c r="GN4" s="1"/>
      <c r="GO4" s="1"/>
      <c r="GQ4" s="1"/>
      <c r="GU4" s="1"/>
      <c r="GV4" s="1"/>
      <c r="HC4" s="1"/>
      <c r="HM4" s="1"/>
      <c r="HN4" s="1"/>
      <c r="HR4" s="1"/>
      <c r="HW4" s="1"/>
      <c r="ID4" s="1"/>
      <c r="IV4" s="1"/>
      <c r="JK4" s="1"/>
      <c r="JL4" s="1"/>
      <c r="JM4" s="1"/>
      <c r="AJU4" s="1"/>
      <c r="AJW4" s="1"/>
      <c r="AJZ4" s="1"/>
    </row>
    <row r="5" spans="1:1302" x14ac:dyDescent="0.3">
      <c r="FJ5" s="1"/>
      <c r="FK5" s="1"/>
      <c r="FL5" s="1"/>
      <c r="FN5" s="1"/>
      <c r="FO5" s="1"/>
      <c r="FQ5" s="1"/>
      <c r="FS5" s="1"/>
      <c r="FT5" s="1"/>
      <c r="FU5" s="1"/>
      <c r="FX5" s="1"/>
      <c r="GA5" s="1"/>
      <c r="GC5" s="1"/>
      <c r="GD5" s="1"/>
      <c r="GL5" s="1"/>
      <c r="GM5" s="1"/>
      <c r="GN5" s="1"/>
      <c r="GO5" s="1"/>
      <c r="GQ5" s="1"/>
      <c r="GU5" s="1"/>
      <c r="GV5" s="1"/>
      <c r="HC5" s="1"/>
      <c r="HM5" s="1"/>
      <c r="HN5" s="1"/>
      <c r="HR5" s="1"/>
      <c r="HW5" s="1"/>
      <c r="ID5" s="1"/>
      <c r="IV5" s="1"/>
      <c r="JK5" s="1"/>
      <c r="JL5" s="1"/>
      <c r="JM5" s="1"/>
      <c r="AJU5" s="1"/>
      <c r="AJW5" s="1"/>
      <c r="AJZ5" s="1"/>
    </row>
    <row r="6" spans="1:1302" x14ac:dyDescent="0.3">
      <c r="FJ6" s="1"/>
      <c r="FK6" s="1"/>
      <c r="FL6" s="1"/>
      <c r="FN6" s="1"/>
      <c r="FO6" s="1"/>
      <c r="FQ6" s="1"/>
      <c r="FS6" s="1"/>
      <c r="FT6" s="1"/>
      <c r="FU6" s="1"/>
      <c r="FX6" s="1"/>
      <c r="GA6" s="1"/>
      <c r="GC6" s="1"/>
      <c r="GD6" s="1"/>
      <c r="GL6" s="1"/>
      <c r="GM6" s="1"/>
      <c r="GN6" s="1"/>
      <c r="GO6" s="1"/>
      <c r="GQ6" s="1"/>
      <c r="GU6" s="1"/>
      <c r="GV6" s="1"/>
      <c r="HC6" s="1"/>
      <c r="HM6" s="1"/>
      <c r="HN6" s="1"/>
      <c r="HR6" s="1"/>
      <c r="HW6" s="1"/>
      <c r="ID6" s="1"/>
      <c r="IV6" s="1"/>
      <c r="JK6" s="1"/>
      <c r="JL6" s="1"/>
      <c r="JM6" s="1"/>
      <c r="AJU6" s="1"/>
      <c r="AJW6" s="1"/>
      <c r="AJZ6" s="1"/>
    </row>
    <row r="7" spans="1:1302" x14ac:dyDescent="0.3">
      <c r="FJ7" s="1"/>
      <c r="FK7" s="1"/>
      <c r="FL7" s="1"/>
      <c r="FN7" s="1"/>
      <c r="FO7" s="1"/>
      <c r="FQ7" s="1"/>
      <c r="FS7" s="1"/>
      <c r="FT7" s="1"/>
      <c r="FU7" s="1"/>
      <c r="FX7" s="1"/>
      <c r="GA7" s="1"/>
      <c r="GC7" s="1"/>
      <c r="GD7" s="1"/>
      <c r="GL7" s="1"/>
      <c r="GM7" s="1"/>
      <c r="GN7" s="1"/>
      <c r="GO7" s="1"/>
      <c r="GQ7" s="1"/>
      <c r="GU7" s="1"/>
      <c r="GV7" s="1"/>
      <c r="HC7" s="1"/>
      <c r="HM7" s="1"/>
      <c r="HN7" s="1"/>
      <c r="HR7" s="1"/>
      <c r="HW7" s="1"/>
      <c r="ID7" s="1"/>
      <c r="IV7" s="1"/>
      <c r="JK7" s="1"/>
      <c r="JL7" s="1"/>
      <c r="JM7" s="1"/>
      <c r="AJU7" s="1"/>
      <c r="AJW7" s="1"/>
      <c r="AJZ7" s="1"/>
    </row>
    <row r="8" spans="1:1302" x14ac:dyDescent="0.3">
      <c r="FJ8" s="1"/>
      <c r="FK8" s="1"/>
      <c r="FL8" s="1"/>
      <c r="FN8" s="1"/>
      <c r="FO8" s="1"/>
      <c r="FQ8" s="1"/>
      <c r="FS8" s="1"/>
      <c r="FT8" s="1"/>
      <c r="FU8" s="1"/>
      <c r="FX8" s="1"/>
      <c r="GA8" s="1"/>
      <c r="GC8" s="1"/>
      <c r="GD8" s="1"/>
      <c r="GL8" s="1"/>
      <c r="GM8" s="1"/>
      <c r="GN8" s="1"/>
      <c r="GO8" s="1"/>
      <c r="GQ8" s="1"/>
      <c r="GU8" s="1"/>
      <c r="GV8" s="1"/>
      <c r="HC8" s="1"/>
      <c r="HM8" s="1"/>
      <c r="HN8" s="1"/>
      <c r="HR8" s="1"/>
      <c r="HW8" s="1"/>
      <c r="ID8" s="1"/>
      <c r="IV8" s="1"/>
      <c r="JK8" s="1"/>
      <c r="JL8" s="1"/>
      <c r="JM8" s="1"/>
      <c r="AJU8" s="1"/>
      <c r="AJW8" s="1"/>
      <c r="AJZ8" s="1"/>
    </row>
    <row r="9" spans="1:1302" x14ac:dyDescent="0.3">
      <c r="FJ9" s="1"/>
      <c r="FK9" s="1"/>
      <c r="FL9" s="1"/>
      <c r="FN9" s="1"/>
      <c r="FO9" s="1"/>
      <c r="FQ9" s="1"/>
      <c r="FS9" s="1"/>
      <c r="FT9" s="1"/>
      <c r="FU9" s="1"/>
      <c r="FX9" s="1"/>
      <c r="GA9" s="1"/>
      <c r="GC9" s="1"/>
      <c r="GD9" s="1"/>
      <c r="GL9" s="1"/>
      <c r="GM9" s="1"/>
      <c r="GN9" s="1"/>
      <c r="GO9" s="1"/>
      <c r="GQ9" s="1"/>
      <c r="GU9" s="1"/>
      <c r="GV9" s="1"/>
      <c r="HC9" s="1"/>
      <c r="HM9" s="1"/>
      <c r="HN9" s="1"/>
      <c r="HR9" s="1"/>
      <c r="HW9" s="1"/>
      <c r="ID9" s="1"/>
      <c r="IV9" s="1"/>
      <c r="JK9" s="1"/>
      <c r="JL9" s="1"/>
      <c r="JM9" s="1"/>
      <c r="AJU9" s="1"/>
      <c r="AJW9" s="1"/>
      <c r="AJZ9" s="1"/>
    </row>
    <row r="10" spans="1:1302" x14ac:dyDescent="0.3">
      <c r="FJ10" s="1"/>
      <c r="FK10" s="1"/>
      <c r="FL10" s="1"/>
      <c r="FN10" s="1"/>
      <c r="FO10" s="1"/>
      <c r="FQ10" s="1"/>
      <c r="FS10" s="1"/>
      <c r="FT10" s="1"/>
      <c r="FU10" s="1"/>
      <c r="FX10" s="1"/>
      <c r="GA10" s="1"/>
      <c r="GC10" s="1"/>
      <c r="GD10" s="1"/>
      <c r="GL10" s="1"/>
      <c r="GM10" s="1"/>
      <c r="GN10" s="1"/>
      <c r="GO10" s="1"/>
      <c r="GQ10" s="1"/>
      <c r="GU10" s="1"/>
      <c r="GV10" s="1"/>
      <c r="HC10" s="1"/>
      <c r="HM10" s="1"/>
      <c r="HN10" s="1"/>
      <c r="HR10" s="1"/>
      <c r="HW10" s="1"/>
      <c r="ID10" s="1"/>
      <c r="IV10" s="1"/>
      <c r="JK10" s="1"/>
      <c r="JL10" s="1"/>
      <c r="JM10" s="1"/>
      <c r="AJU10" s="1"/>
      <c r="AJW10" s="1"/>
      <c r="AJZ10" s="1"/>
    </row>
    <row r="11" spans="1:1302" x14ac:dyDescent="0.3">
      <c r="FJ11" s="1"/>
      <c r="FK11" s="1"/>
      <c r="FL11" s="1"/>
      <c r="FN11" s="1"/>
      <c r="FO11" s="1"/>
      <c r="FQ11" s="1"/>
      <c r="FS11" s="1"/>
      <c r="FT11" s="1"/>
      <c r="FU11" s="1"/>
      <c r="FX11" s="1"/>
      <c r="GA11" s="1"/>
      <c r="GC11" s="1"/>
      <c r="GD11" s="1"/>
      <c r="GL11" s="1"/>
      <c r="GM11" s="1"/>
      <c r="GN11" s="1"/>
      <c r="GO11" s="1"/>
      <c r="GQ11" s="1"/>
      <c r="GU11" s="1"/>
      <c r="GV11" s="1"/>
      <c r="HC11" s="1"/>
      <c r="HM11" s="1"/>
      <c r="HN11" s="1"/>
      <c r="HR11" s="1"/>
      <c r="HW11" s="1"/>
      <c r="ID11" s="1"/>
      <c r="IV11" s="1"/>
      <c r="JK11" s="1"/>
      <c r="JL11" s="1"/>
      <c r="JM11" s="1"/>
      <c r="AFJ11">
        <f>AFK11/AFK14</f>
        <v>0.99451303155006876</v>
      </c>
      <c r="AFK11">
        <v>2.9</v>
      </c>
      <c r="AFL11" t="s">
        <v>1314</v>
      </c>
      <c r="AJU11" s="1"/>
      <c r="AJW11" s="1"/>
      <c r="AJZ11" s="1"/>
    </row>
    <row r="12" spans="1:1302" x14ac:dyDescent="0.3">
      <c r="FJ12" s="1"/>
      <c r="FK12" s="1"/>
      <c r="FL12" s="1"/>
      <c r="FN12" s="1"/>
      <c r="FO12" s="1"/>
      <c r="FQ12" s="1"/>
      <c r="FS12" s="1"/>
      <c r="FT12" s="1"/>
      <c r="FU12" s="1"/>
      <c r="FX12" s="1"/>
      <c r="GA12" s="1"/>
      <c r="GC12" s="1"/>
      <c r="GD12" s="1"/>
      <c r="GL12" s="1"/>
      <c r="GM12" s="1"/>
      <c r="GN12" s="1"/>
      <c r="GO12" s="1"/>
      <c r="GQ12" s="1"/>
      <c r="GU12" s="1"/>
      <c r="GV12" s="1"/>
      <c r="HC12" s="1"/>
      <c r="HM12" s="1"/>
      <c r="HN12" s="1"/>
      <c r="HR12" s="1"/>
      <c r="HW12" s="1"/>
      <c r="ID12" s="1"/>
      <c r="IV12" s="1"/>
      <c r="JK12" s="1"/>
      <c r="JL12" s="1"/>
      <c r="JM12" s="1"/>
      <c r="AFJ12">
        <f>AFK12/AFK14</f>
        <v>3.4293552812071338E-3</v>
      </c>
      <c r="AFK12">
        <v>0.01</v>
      </c>
      <c r="AFL12" t="s">
        <v>1312</v>
      </c>
      <c r="AJU12" s="1"/>
      <c r="AJW12" s="1"/>
      <c r="AJZ12" s="1"/>
    </row>
    <row r="13" spans="1:1302" x14ac:dyDescent="0.3">
      <c r="FJ13" s="1"/>
      <c r="FK13" s="1"/>
      <c r="FL13" s="1"/>
      <c r="FN13" s="1"/>
      <c r="FO13" s="1"/>
      <c r="FQ13" s="1"/>
      <c r="FS13" s="1"/>
      <c r="FT13" s="1"/>
      <c r="FU13" s="1"/>
      <c r="FX13" s="1"/>
      <c r="GA13" s="1"/>
      <c r="GC13" s="1"/>
      <c r="GD13" s="1"/>
      <c r="GL13" s="1"/>
      <c r="GM13" s="1"/>
      <c r="GN13" s="1"/>
      <c r="GO13" s="1"/>
      <c r="GQ13" s="1"/>
      <c r="GU13" s="1"/>
      <c r="GV13" s="1"/>
      <c r="HC13" s="1"/>
      <c r="HM13" s="1"/>
      <c r="HN13" s="1"/>
      <c r="HR13" s="1"/>
      <c r="HW13" s="1"/>
      <c r="ID13" s="1"/>
      <c r="IV13" s="1"/>
      <c r="JK13" s="1"/>
      <c r="JL13" s="1"/>
      <c r="JM13" s="1"/>
      <c r="AFJ13">
        <f>AFK13/AFK14</f>
        <v>2.0576131687242804E-3</v>
      </c>
      <c r="AFK13">
        <v>6.0000000000000001E-3</v>
      </c>
      <c r="AFL13" t="s">
        <v>1313</v>
      </c>
      <c r="AFM13" t="s">
        <v>1315</v>
      </c>
      <c r="AFO13">
        <v>5.3999999999999999E-2</v>
      </c>
      <c r="AFR13">
        <v>0.23699999999999999</v>
      </c>
      <c r="AJU13" s="1"/>
      <c r="AJW13" s="1"/>
      <c r="AJZ13" s="1"/>
    </row>
    <row r="14" spans="1:1302" x14ac:dyDescent="0.3">
      <c r="FJ14" s="1"/>
      <c r="FK14" s="1"/>
      <c r="FL14" s="1"/>
      <c r="FN14" s="1"/>
      <c r="FO14" s="1"/>
      <c r="FQ14" s="1"/>
      <c r="FS14" s="1"/>
      <c r="FT14" s="1"/>
      <c r="FU14" s="1"/>
      <c r="FX14" s="1"/>
      <c r="GA14" s="1"/>
      <c r="GC14" s="1"/>
      <c r="GD14" s="1"/>
      <c r="GL14" s="1"/>
      <c r="GM14" s="1"/>
      <c r="GN14" s="1"/>
      <c r="GO14" s="1"/>
      <c r="GQ14" s="1"/>
      <c r="GU14" s="1"/>
      <c r="GV14" s="1"/>
      <c r="HC14" s="1"/>
      <c r="HM14" s="1"/>
      <c r="HN14" s="1"/>
      <c r="HR14" s="1"/>
      <c r="HW14" s="1"/>
      <c r="ID14" s="1"/>
      <c r="IV14" s="1"/>
      <c r="JK14" s="1"/>
      <c r="JL14" s="1"/>
      <c r="JM14" s="1"/>
      <c r="AFK14">
        <f>SUM(AFK11:AFK13)</f>
        <v>2.9159999999999995</v>
      </c>
      <c r="AFR14">
        <v>4.2999999999999997E-2</v>
      </c>
      <c r="AJU14" s="1"/>
      <c r="AJW14" s="1"/>
      <c r="AJZ14" s="1"/>
    </row>
    <row r="15" spans="1:1302" x14ac:dyDescent="0.3">
      <c r="FJ15" s="1"/>
      <c r="FK15" s="1"/>
      <c r="FL15" s="1"/>
      <c r="FN15" s="1"/>
      <c r="FO15" s="1"/>
      <c r="FQ15" s="1"/>
      <c r="FS15" s="1"/>
      <c r="FT15" s="1"/>
      <c r="FU15" s="1"/>
      <c r="FX15" s="1"/>
      <c r="GA15" s="1"/>
      <c r="GC15" s="1"/>
      <c r="GD15" s="1"/>
      <c r="GL15" s="1"/>
      <c r="GM15" s="1"/>
      <c r="GN15" s="1"/>
      <c r="GO15" s="1"/>
      <c r="GQ15" s="1"/>
      <c r="GU15" s="1"/>
      <c r="GV15" s="1"/>
      <c r="HC15" s="1"/>
      <c r="HM15" s="1"/>
      <c r="HN15" s="1"/>
      <c r="HR15" s="1"/>
      <c r="HW15" s="1"/>
      <c r="ID15" s="1"/>
      <c r="IV15" s="1"/>
      <c r="JK15" s="1"/>
      <c r="JL15" s="1"/>
      <c r="JM15" s="1"/>
      <c r="AFR15">
        <f>SUM(AFR13:AFR14)</f>
        <v>0.27999999999999997</v>
      </c>
      <c r="AJU15" s="1"/>
      <c r="AJW15" s="1"/>
      <c r="AJZ15" s="1"/>
    </row>
    <row r="16" spans="1:1302" x14ac:dyDescent="0.3">
      <c r="FJ16" s="1"/>
      <c r="FK16" s="1"/>
      <c r="FL16" s="1"/>
      <c r="FN16" s="1"/>
      <c r="FO16" s="1"/>
      <c r="FQ16" s="1"/>
      <c r="FS16" s="1"/>
      <c r="FT16" s="1"/>
      <c r="FU16" s="1"/>
      <c r="FX16" s="1"/>
      <c r="GA16" s="1"/>
      <c r="GC16" s="1"/>
      <c r="GD16" s="1"/>
      <c r="GL16" s="1"/>
      <c r="GM16" s="1"/>
      <c r="GN16" s="1"/>
      <c r="GO16" s="1"/>
      <c r="GQ16" s="1"/>
      <c r="GU16" s="1"/>
      <c r="GV16" s="1"/>
      <c r="HC16" s="1"/>
      <c r="HM16" s="1"/>
      <c r="HN16" s="1"/>
      <c r="HR16" s="1"/>
      <c r="HW16" s="1"/>
      <c r="ID16" s="1"/>
      <c r="IV16" s="1"/>
      <c r="JK16" s="1"/>
      <c r="JL16" s="1"/>
      <c r="JM16" s="1"/>
      <c r="AJU16" s="1"/>
      <c r="AJW16" s="1"/>
      <c r="AJZ16" s="1"/>
    </row>
    <row r="17" spans="166:962" x14ac:dyDescent="0.3">
      <c r="FJ17" s="1"/>
      <c r="FK17" s="1"/>
      <c r="FL17" s="1"/>
      <c r="FN17" s="1"/>
      <c r="FO17" s="1"/>
      <c r="FQ17" s="1"/>
      <c r="FS17" s="1"/>
      <c r="FT17" s="1"/>
      <c r="FU17" s="1"/>
      <c r="FX17" s="1"/>
      <c r="GA17" s="1"/>
      <c r="GC17" s="1"/>
      <c r="GD17" s="1"/>
      <c r="GL17" s="1"/>
      <c r="GM17" s="1"/>
      <c r="GN17" s="1"/>
      <c r="GO17" s="1"/>
      <c r="GQ17" s="1"/>
      <c r="GU17" s="1"/>
      <c r="GV17" s="1"/>
      <c r="HC17" s="1"/>
      <c r="HM17" s="1"/>
      <c r="HN17" s="1"/>
      <c r="HR17" s="1"/>
      <c r="HW17" s="1"/>
      <c r="ID17" s="1"/>
      <c r="IV17" s="1"/>
      <c r="JK17" s="1"/>
      <c r="JL17" s="1"/>
      <c r="JM17" s="1"/>
      <c r="AJU17" s="1"/>
      <c r="AJW17" s="1"/>
      <c r="AJZ17" s="1"/>
    </row>
    <row r="18" spans="166:962" x14ac:dyDescent="0.3">
      <c r="FJ18" s="1"/>
      <c r="FK18" s="1"/>
      <c r="FL18" s="1"/>
      <c r="FN18" s="1"/>
      <c r="FO18" s="1"/>
      <c r="FQ18" s="1"/>
      <c r="FS18" s="1"/>
      <c r="FT18" s="1"/>
      <c r="FU18" s="1"/>
      <c r="FX18" s="1"/>
      <c r="GA18" s="1"/>
      <c r="GC18" s="1"/>
      <c r="GD18" s="1"/>
      <c r="GL18" s="1"/>
      <c r="GM18" s="1"/>
      <c r="GN18" s="1"/>
      <c r="GO18" s="1"/>
      <c r="GQ18" s="1"/>
      <c r="GU18" s="1"/>
      <c r="GV18" s="1"/>
      <c r="HC18" s="1"/>
      <c r="HM18" s="1"/>
      <c r="HN18" s="1"/>
      <c r="HR18" s="1"/>
      <c r="HW18" s="1"/>
      <c r="ID18" s="1"/>
      <c r="IV18" s="1"/>
      <c r="JK18" s="1"/>
      <c r="JL18" s="1"/>
      <c r="JM18" s="1"/>
      <c r="AJU18" s="1"/>
      <c r="AJW18" s="1"/>
      <c r="AJZ18" s="1"/>
    </row>
    <row r="19" spans="166:962" x14ac:dyDescent="0.3">
      <c r="FJ19" s="1"/>
      <c r="FK19" s="1"/>
      <c r="FL19" s="1"/>
      <c r="FN19" s="1"/>
      <c r="FO19" s="1"/>
      <c r="FQ19" s="1"/>
      <c r="FS19" s="1"/>
      <c r="FT19" s="1"/>
      <c r="FU19" s="1"/>
      <c r="FX19" s="1"/>
      <c r="GA19" s="1"/>
      <c r="GC19" s="1"/>
      <c r="GD19" s="1"/>
      <c r="GL19" s="1"/>
      <c r="GM19" s="1"/>
      <c r="GN19" s="1"/>
      <c r="GO19" s="1"/>
      <c r="GQ19" s="1"/>
      <c r="GU19" s="1"/>
      <c r="GV19" s="1"/>
      <c r="HC19" s="1"/>
      <c r="HM19" s="1"/>
      <c r="HN19" s="1"/>
      <c r="HR19" s="1"/>
      <c r="HW19" s="1"/>
      <c r="ID19" s="1"/>
      <c r="IV19" s="1"/>
      <c r="JK19" s="1"/>
      <c r="JL19" s="1"/>
      <c r="JM19" s="1"/>
      <c r="AJU19" s="1"/>
      <c r="AJW19" s="1"/>
      <c r="AJZ19" s="1"/>
    </row>
    <row r="20" spans="166:962" x14ac:dyDescent="0.3">
      <c r="FJ20" s="1"/>
      <c r="FK20" s="1"/>
      <c r="FL20" s="1"/>
      <c r="FN20" s="1"/>
      <c r="FO20" s="1"/>
      <c r="FQ20" s="1"/>
      <c r="FS20" s="1"/>
      <c r="FT20" s="1"/>
      <c r="FU20" s="1"/>
      <c r="FX20" s="1"/>
      <c r="GA20" s="1"/>
      <c r="GC20" s="1"/>
      <c r="GD20" s="1"/>
      <c r="GL20" s="1"/>
      <c r="GM20" s="1"/>
      <c r="GN20" s="1"/>
      <c r="GO20" s="1"/>
      <c r="GQ20" s="1"/>
      <c r="GU20" s="1"/>
      <c r="GV20" s="1"/>
      <c r="HC20" s="1"/>
      <c r="HM20" s="1"/>
      <c r="HN20" s="1"/>
      <c r="HR20" s="1"/>
      <c r="HW20" s="1"/>
      <c r="ID20" s="1"/>
      <c r="IV20" s="1"/>
      <c r="JK20" s="1"/>
      <c r="JL20" s="1"/>
      <c r="JM20" s="1"/>
      <c r="AJU20" s="1"/>
      <c r="AJW20" s="1"/>
      <c r="AJZ20" s="1"/>
    </row>
    <row r="21" spans="166:962" x14ac:dyDescent="0.3">
      <c r="FJ21" s="1"/>
      <c r="FK21" s="1"/>
      <c r="FL21" s="1"/>
      <c r="FN21" s="1"/>
      <c r="FO21" s="1"/>
      <c r="FQ21" s="1"/>
      <c r="FS21" s="1"/>
      <c r="FT21" s="1"/>
      <c r="FU21" s="1"/>
      <c r="FX21" s="1"/>
      <c r="GA21" s="1"/>
      <c r="GC21" s="1"/>
      <c r="GD21" s="1"/>
      <c r="GL21" s="1"/>
      <c r="GM21" s="1"/>
      <c r="GN21" s="1"/>
      <c r="GO21" s="1"/>
      <c r="GQ21" s="1"/>
      <c r="GU21" s="1"/>
      <c r="GV21" s="1"/>
      <c r="HC21" s="1"/>
      <c r="HM21" s="1"/>
      <c r="HN21" s="1"/>
      <c r="HR21" s="1"/>
      <c r="HW21" s="1"/>
      <c r="ID21" s="1"/>
      <c r="IV21" s="1"/>
      <c r="JK21" s="1"/>
      <c r="JL21" s="1"/>
      <c r="JM21" s="1"/>
      <c r="AJU21" s="1"/>
      <c r="AJW21" s="1"/>
      <c r="AJZ21" s="1"/>
    </row>
    <row r="22" spans="166:962" x14ac:dyDescent="0.3">
      <c r="FJ22" s="1"/>
      <c r="FK22" s="1"/>
      <c r="FL22" s="1"/>
      <c r="FN22" s="1"/>
      <c r="FO22" s="1"/>
      <c r="FQ22" s="1"/>
      <c r="FS22" s="1"/>
      <c r="FT22" s="1"/>
      <c r="FU22" s="1"/>
      <c r="FX22" s="1"/>
      <c r="GA22" s="1"/>
      <c r="GC22" s="1"/>
      <c r="GD22" s="1"/>
      <c r="GL22" s="1"/>
      <c r="GM22" s="1"/>
      <c r="GN22" s="1"/>
      <c r="GO22" s="1"/>
      <c r="GQ22" s="1"/>
      <c r="GU22" s="1"/>
      <c r="GV22" s="1"/>
      <c r="HC22" s="1"/>
      <c r="HM22" s="1"/>
      <c r="HN22" s="1"/>
      <c r="HR22" s="1"/>
      <c r="HW22" s="1"/>
      <c r="ID22" s="1"/>
      <c r="IV22" s="1"/>
      <c r="JK22" s="1"/>
      <c r="JL22" s="1"/>
      <c r="JM22" s="1"/>
      <c r="AJU22" s="1"/>
      <c r="AJW22" s="1"/>
      <c r="AJZ22" s="1"/>
    </row>
    <row r="23" spans="166:962" x14ac:dyDescent="0.3">
      <c r="FJ23" s="1"/>
      <c r="FK23" s="1"/>
      <c r="FL23" s="1"/>
      <c r="FN23" s="1"/>
      <c r="FO23" s="1"/>
      <c r="FQ23" s="1"/>
      <c r="FS23" s="1"/>
      <c r="FT23" s="1"/>
      <c r="FU23" s="1"/>
      <c r="FX23" s="1"/>
      <c r="GA23" s="1"/>
      <c r="GC23" s="1"/>
      <c r="GD23" s="1"/>
      <c r="GL23" s="1"/>
      <c r="GM23" s="1"/>
      <c r="GN23" s="1"/>
      <c r="GO23" s="1"/>
      <c r="GQ23" s="1"/>
      <c r="GU23" s="1"/>
      <c r="GV23" s="1"/>
      <c r="HC23" s="1"/>
      <c r="HM23" s="1"/>
      <c r="HN23" s="1"/>
      <c r="HR23" s="1"/>
      <c r="HW23" s="1"/>
      <c r="ID23" s="1"/>
      <c r="IV23" s="1"/>
      <c r="JK23" s="1"/>
      <c r="JL23" s="1"/>
      <c r="JM23" s="1"/>
      <c r="AJU23" s="1"/>
      <c r="AJW23" s="1"/>
      <c r="AJZ23" s="1"/>
    </row>
    <row r="24" spans="166:962" x14ac:dyDescent="0.3">
      <c r="FJ24" s="1"/>
      <c r="FK24" s="1"/>
      <c r="FL24" s="1"/>
      <c r="FN24" s="1"/>
      <c r="FO24" s="1"/>
      <c r="FQ24" s="1"/>
      <c r="FS24" s="1"/>
      <c r="FT24" s="1"/>
      <c r="FU24" s="1"/>
      <c r="FX24" s="1"/>
      <c r="GA24" s="1"/>
      <c r="GC24" s="1"/>
      <c r="GD24" s="1"/>
      <c r="GL24" s="1"/>
      <c r="GM24" s="1"/>
      <c r="GN24" s="1"/>
      <c r="GO24" s="1"/>
      <c r="GQ24" s="1"/>
      <c r="GU24" s="1"/>
      <c r="GV24" s="1"/>
      <c r="HC24" s="1"/>
      <c r="HM24" s="1"/>
      <c r="HN24" s="1"/>
      <c r="HR24" s="1"/>
      <c r="HW24" s="1"/>
      <c r="ID24" s="1"/>
      <c r="IV24" s="1"/>
      <c r="JK24" s="1"/>
      <c r="JL24" s="1"/>
      <c r="JM24" s="1"/>
      <c r="AJU24" s="1"/>
      <c r="AJW24" s="1"/>
      <c r="AJZ24" s="1"/>
    </row>
    <row r="25" spans="166:962" x14ac:dyDescent="0.3">
      <c r="FJ25" s="1"/>
      <c r="FK25" s="1"/>
      <c r="FL25" s="1"/>
      <c r="FN25" s="1"/>
      <c r="FO25" s="1"/>
      <c r="FQ25" s="1"/>
      <c r="FS25" s="1"/>
      <c r="FT25" s="1"/>
      <c r="FU25" s="1"/>
      <c r="FX25" s="1"/>
      <c r="GA25" s="1"/>
      <c r="GC25" s="1"/>
      <c r="GD25" s="1"/>
      <c r="GL25" s="1"/>
      <c r="GM25" s="1"/>
      <c r="GN25" s="1"/>
      <c r="GO25" s="1"/>
      <c r="GQ25" s="1"/>
      <c r="GU25" s="1"/>
      <c r="GV25" s="1"/>
      <c r="HC25" s="1"/>
      <c r="HM25" s="1"/>
      <c r="HN25" s="1"/>
      <c r="HR25" s="1"/>
      <c r="HW25" s="1"/>
      <c r="ID25" s="1"/>
      <c r="IV25" s="1"/>
      <c r="JK25" s="1"/>
      <c r="JL25" s="1"/>
      <c r="JM25" s="1"/>
      <c r="AJU25" s="1"/>
      <c r="AJW25" s="1"/>
      <c r="AJZ25" s="1"/>
    </row>
    <row r="26" spans="166:962" x14ac:dyDescent="0.3">
      <c r="FJ26" s="1"/>
      <c r="FK26" s="1"/>
      <c r="FL26" s="1"/>
      <c r="FN26" s="1"/>
      <c r="FO26" s="1"/>
      <c r="FQ26" s="1"/>
      <c r="FS26" s="1"/>
      <c r="FT26" s="1"/>
      <c r="FU26" s="1"/>
      <c r="FX26" s="1"/>
      <c r="GA26" s="1"/>
      <c r="GC26" s="1"/>
      <c r="GD26" s="1"/>
      <c r="GL26" s="1"/>
      <c r="GM26" s="1"/>
      <c r="GN26" s="1"/>
      <c r="GO26" s="1"/>
      <c r="GQ26" s="1"/>
      <c r="GU26" s="1"/>
      <c r="GV26" s="1"/>
      <c r="HC26" s="1"/>
      <c r="HM26" s="1"/>
      <c r="HN26" s="1"/>
      <c r="HR26" s="1"/>
      <c r="HW26" s="1"/>
      <c r="ID26" s="1"/>
      <c r="IV26" s="1"/>
      <c r="JK26" s="1"/>
      <c r="JL26" s="1"/>
      <c r="JM26" s="1"/>
      <c r="AJU26" s="1"/>
      <c r="AJW26" s="1"/>
      <c r="AJZ26" s="1"/>
    </row>
    <row r="27" spans="166:962" x14ac:dyDescent="0.3">
      <c r="FJ27" s="1"/>
      <c r="FK27" s="1"/>
      <c r="FL27" s="1"/>
      <c r="FN27" s="1"/>
      <c r="FO27" s="1"/>
      <c r="FQ27" s="1"/>
      <c r="FS27" s="1"/>
      <c r="FT27" s="1"/>
      <c r="FU27" s="1"/>
      <c r="FX27" s="1"/>
      <c r="GA27" s="1"/>
      <c r="GC27" s="1"/>
      <c r="GD27" s="1"/>
      <c r="GL27" s="1"/>
      <c r="GM27" s="1"/>
      <c r="GN27" s="1"/>
      <c r="GO27" s="1"/>
      <c r="GQ27" s="1"/>
      <c r="GU27" s="1"/>
      <c r="GV27" s="1"/>
      <c r="HC27" s="1"/>
      <c r="HM27" s="1"/>
      <c r="HN27" s="1"/>
      <c r="HR27" s="1"/>
      <c r="HW27" s="1"/>
      <c r="ID27" s="1"/>
      <c r="IV27" s="1"/>
      <c r="JK27" s="1"/>
      <c r="JL27" s="1"/>
      <c r="JM27" s="1"/>
      <c r="AJU27" s="1"/>
      <c r="AJW27" s="1"/>
      <c r="AJZ27" s="1"/>
    </row>
    <row r="28" spans="166:962" x14ac:dyDescent="0.3">
      <c r="FJ28" s="1"/>
      <c r="FK28" s="1"/>
      <c r="FL28" s="1"/>
      <c r="FN28" s="1"/>
      <c r="FO28" s="1"/>
      <c r="FQ28" s="1"/>
      <c r="FS28" s="1"/>
      <c r="FT28" s="1"/>
      <c r="FU28" s="1"/>
      <c r="FX28" s="1"/>
      <c r="GA28" s="1"/>
      <c r="GC28" s="1"/>
      <c r="GD28" s="1"/>
      <c r="GL28" s="1"/>
      <c r="GM28" s="1"/>
      <c r="GN28" s="1"/>
      <c r="GO28" s="1"/>
      <c r="GQ28" s="1"/>
      <c r="GU28" s="1"/>
      <c r="GV28" s="1"/>
      <c r="HC28" s="1"/>
      <c r="HM28" s="1"/>
      <c r="HN28" s="1"/>
      <c r="HR28" s="1"/>
      <c r="HW28" s="1"/>
      <c r="ID28" s="1"/>
      <c r="IV28" s="1"/>
      <c r="JK28" s="1"/>
      <c r="JL28" s="1"/>
      <c r="JM28" s="1"/>
      <c r="AJU28" s="1"/>
      <c r="AJW28" s="1"/>
      <c r="AJZ28" s="1"/>
    </row>
    <row r="29" spans="166:962" x14ac:dyDescent="0.3">
      <c r="FJ29" s="1"/>
      <c r="FK29" s="1"/>
      <c r="FL29" s="1"/>
      <c r="FN29" s="1"/>
      <c r="FO29" s="1"/>
      <c r="FQ29" s="1"/>
      <c r="FS29" s="1"/>
      <c r="FT29" s="1"/>
      <c r="FU29" s="1"/>
      <c r="FX29" s="1"/>
      <c r="GA29" s="1"/>
      <c r="GC29" s="1"/>
      <c r="GD29" s="1"/>
      <c r="GL29" s="1"/>
      <c r="GM29" s="1"/>
      <c r="GN29" s="1"/>
      <c r="GO29" s="1"/>
      <c r="GQ29" s="1"/>
      <c r="GU29" s="1"/>
      <c r="GV29" s="1"/>
      <c r="HC29" s="1"/>
      <c r="HM29" s="1"/>
      <c r="HN29" s="1"/>
      <c r="HR29" s="1"/>
      <c r="HW29" s="1"/>
      <c r="ID29" s="1"/>
      <c r="IV29" s="1"/>
      <c r="JK29" s="1"/>
      <c r="JL29" s="1"/>
      <c r="JM29" s="1"/>
      <c r="AJU29" s="1"/>
      <c r="AJW29" s="1"/>
      <c r="AJZ29" s="1"/>
    </row>
    <row r="30" spans="166:962" x14ac:dyDescent="0.3">
      <c r="FJ30" s="1"/>
      <c r="FK30" s="1"/>
      <c r="FL30" s="1"/>
      <c r="FN30" s="1"/>
      <c r="FO30" s="1"/>
      <c r="FQ30" s="1"/>
      <c r="FS30" s="1"/>
      <c r="FT30" s="1"/>
      <c r="FU30" s="1"/>
      <c r="FX30" s="1"/>
      <c r="GA30" s="1"/>
      <c r="GC30" s="1"/>
      <c r="GD30" s="1"/>
      <c r="GL30" s="1"/>
      <c r="GM30" s="1"/>
      <c r="GN30" s="1"/>
      <c r="GO30" s="1"/>
      <c r="GQ30" s="1"/>
      <c r="GU30" s="1"/>
      <c r="GV30" s="1"/>
      <c r="HC30" s="1"/>
      <c r="HM30" s="1"/>
      <c r="HN30" s="1"/>
      <c r="HR30" s="1"/>
      <c r="HW30" s="1"/>
      <c r="ID30" s="1"/>
      <c r="IV30" s="1"/>
      <c r="JK30" s="1"/>
      <c r="JL30" s="1"/>
      <c r="JM30" s="1"/>
      <c r="AJU30" s="1"/>
      <c r="AJW30" s="1"/>
      <c r="AJZ30" s="1"/>
    </row>
    <row r="31" spans="166:962" x14ac:dyDescent="0.3">
      <c r="FJ31" s="1"/>
      <c r="FK31" s="1"/>
      <c r="FL31" s="1"/>
      <c r="FN31" s="1"/>
      <c r="FO31" s="1"/>
      <c r="FQ31" s="1"/>
      <c r="FS31" s="1"/>
      <c r="FT31" s="1"/>
      <c r="FU31" s="1"/>
      <c r="FX31" s="1"/>
      <c r="GA31" s="1"/>
      <c r="GC31" s="1"/>
      <c r="GD31" s="1"/>
      <c r="GL31" s="1"/>
      <c r="GM31" s="1"/>
      <c r="GN31" s="1"/>
      <c r="GO31" s="1"/>
      <c r="GQ31" s="1"/>
      <c r="GU31" s="1"/>
      <c r="GV31" s="1"/>
      <c r="HC31" s="1"/>
      <c r="HM31" s="1"/>
      <c r="HN31" s="1"/>
      <c r="HR31" s="1"/>
      <c r="HW31" s="1"/>
      <c r="ID31" s="1"/>
      <c r="IV31" s="1"/>
      <c r="JK31" s="1"/>
      <c r="JL31" s="1"/>
      <c r="JM31" s="1"/>
      <c r="AJU31" s="1"/>
      <c r="AJW31" s="1"/>
      <c r="AJZ31" s="1"/>
    </row>
    <row r="32" spans="166:962" x14ac:dyDescent="0.3">
      <c r="FJ32" s="1"/>
      <c r="FK32" s="1"/>
      <c r="FL32" s="1"/>
      <c r="FN32" s="1"/>
      <c r="FO32" s="1"/>
      <c r="FQ32" s="1"/>
      <c r="FS32" s="1"/>
      <c r="FT32" s="1"/>
      <c r="FU32" s="1"/>
      <c r="FX32" s="1"/>
      <c r="GA32" s="1"/>
      <c r="GC32" s="1"/>
      <c r="GD32" s="1"/>
      <c r="GL32" s="1"/>
      <c r="GM32" s="1"/>
      <c r="GN32" s="1"/>
      <c r="GO32" s="1"/>
      <c r="GQ32" s="1"/>
      <c r="GU32" s="1"/>
      <c r="GV32" s="1"/>
      <c r="HC32" s="1"/>
      <c r="HM32" s="1"/>
      <c r="HN32" s="1"/>
      <c r="HR32" s="1"/>
      <c r="HW32" s="1"/>
      <c r="ID32" s="1"/>
      <c r="IV32" s="1"/>
      <c r="JK32" s="1"/>
      <c r="JL32" s="1"/>
      <c r="JM32" s="1"/>
      <c r="AJU32" s="1"/>
      <c r="AJW32" s="1"/>
      <c r="AJZ32" s="1"/>
    </row>
    <row r="33" spans="166:962" x14ac:dyDescent="0.3">
      <c r="FJ33" s="1"/>
      <c r="FK33" s="1"/>
      <c r="FL33" s="1"/>
      <c r="FN33" s="1"/>
      <c r="FO33" s="1"/>
      <c r="FQ33" s="1"/>
      <c r="FS33" s="1"/>
      <c r="FT33" s="1"/>
      <c r="FU33" s="1"/>
      <c r="FX33" s="1"/>
      <c r="GA33" s="1"/>
      <c r="GC33" s="1"/>
      <c r="GD33" s="1"/>
      <c r="GL33" s="1"/>
      <c r="GM33" s="1"/>
      <c r="GN33" s="1"/>
      <c r="GO33" s="1"/>
      <c r="GQ33" s="1"/>
      <c r="GU33" s="1"/>
      <c r="GV33" s="1"/>
      <c r="HC33" s="1"/>
      <c r="HM33" s="1"/>
      <c r="HN33" s="1"/>
      <c r="HR33" s="1"/>
      <c r="HW33" s="1"/>
      <c r="ID33" s="1"/>
      <c r="IV33" s="1"/>
      <c r="JK33" s="1"/>
      <c r="JL33" s="1"/>
      <c r="JM33" s="1"/>
      <c r="AJU33" s="1"/>
      <c r="AJW33" s="1"/>
      <c r="AJZ33" s="1"/>
    </row>
    <row r="34" spans="166:962" x14ac:dyDescent="0.3">
      <c r="FJ34" s="1"/>
      <c r="FK34" s="1"/>
      <c r="FL34" s="1"/>
      <c r="FN34" s="1"/>
      <c r="FO34" s="1"/>
      <c r="FQ34" s="1"/>
      <c r="FS34" s="1"/>
      <c r="FT34" s="1"/>
      <c r="FU34" s="1"/>
      <c r="FX34" s="1"/>
      <c r="GA34" s="1"/>
      <c r="GC34" s="1"/>
      <c r="GD34" s="1"/>
      <c r="GL34" s="1"/>
      <c r="GM34" s="1"/>
      <c r="GN34" s="1"/>
      <c r="GO34" s="1"/>
      <c r="GQ34" s="1"/>
      <c r="GU34" s="1"/>
      <c r="GV34" s="1"/>
      <c r="HC34" s="1"/>
      <c r="HM34" s="1"/>
      <c r="HN34" s="1"/>
      <c r="HR34" s="1"/>
      <c r="HW34" s="1"/>
      <c r="ID34" s="1"/>
      <c r="IV34" s="1"/>
      <c r="JK34" s="1"/>
      <c r="JL34" s="1"/>
      <c r="JM34" s="1"/>
      <c r="AJU34" s="1"/>
      <c r="AJW34" s="1"/>
      <c r="AJZ34" s="1"/>
    </row>
    <row r="35" spans="166:962" x14ac:dyDescent="0.3">
      <c r="FJ35" s="1"/>
      <c r="FK35" s="1"/>
      <c r="FL35" s="1"/>
      <c r="FN35" s="1"/>
      <c r="FO35" s="1"/>
      <c r="FQ35" s="1"/>
      <c r="FS35" s="1"/>
      <c r="FT35" s="1"/>
      <c r="FU35" s="1"/>
      <c r="FX35" s="1"/>
      <c r="GA35" s="1"/>
      <c r="GC35" s="1"/>
      <c r="GD35" s="1"/>
      <c r="GL35" s="1"/>
      <c r="GM35" s="1"/>
      <c r="GN35" s="1"/>
      <c r="GO35" s="1"/>
      <c r="GQ35" s="1"/>
      <c r="GU35" s="1"/>
      <c r="GV35" s="1"/>
      <c r="HC35" s="1"/>
      <c r="HM35" s="1"/>
      <c r="HN35" s="1"/>
      <c r="HR35" s="1"/>
      <c r="HW35" s="1"/>
      <c r="ID35" s="1"/>
      <c r="IV35" s="1"/>
      <c r="JK35" s="1"/>
      <c r="JL35" s="1"/>
      <c r="JM35" s="1"/>
      <c r="AJU35" s="1"/>
      <c r="AJW35" s="1"/>
      <c r="AJZ35" s="1"/>
    </row>
    <row r="36" spans="166:962" x14ac:dyDescent="0.3">
      <c r="FJ36" s="1"/>
      <c r="FK36" s="1"/>
      <c r="FL36" s="1"/>
      <c r="FN36" s="1"/>
      <c r="FO36" s="1"/>
      <c r="FQ36" s="1"/>
      <c r="FS36" s="1"/>
      <c r="FT36" s="1"/>
      <c r="FU36" s="1"/>
      <c r="FX36" s="1"/>
      <c r="GA36" s="1"/>
      <c r="GC36" s="1"/>
      <c r="GD36" s="1"/>
      <c r="GL36" s="1"/>
      <c r="GM36" s="1"/>
      <c r="GN36" s="1"/>
      <c r="GO36" s="1"/>
      <c r="GQ36" s="1"/>
      <c r="GU36" s="1"/>
      <c r="GV36" s="1"/>
      <c r="HC36" s="1"/>
      <c r="HM36" s="1"/>
      <c r="HN36" s="1"/>
      <c r="HR36" s="1"/>
      <c r="HW36" s="1"/>
      <c r="ID36" s="1"/>
      <c r="IV36" s="1"/>
      <c r="JK36" s="1"/>
      <c r="JL36" s="1"/>
      <c r="JM36" s="1"/>
      <c r="AJU36" s="1"/>
      <c r="AJW36" s="1"/>
      <c r="AJZ36" s="1"/>
    </row>
    <row r="37" spans="166:962" x14ac:dyDescent="0.3">
      <c r="FJ37" s="1"/>
      <c r="FK37" s="1"/>
      <c r="FL37" s="1"/>
      <c r="FN37" s="1"/>
      <c r="FO37" s="1"/>
      <c r="FQ37" s="1"/>
      <c r="FS37" s="1"/>
      <c r="FT37" s="1"/>
      <c r="FU37" s="1"/>
      <c r="FX37" s="1"/>
      <c r="GA37" s="1"/>
      <c r="GC37" s="1"/>
      <c r="GD37" s="1"/>
      <c r="GL37" s="1"/>
      <c r="GM37" s="1"/>
      <c r="GN37" s="1"/>
      <c r="GO37" s="1"/>
      <c r="GQ37" s="1"/>
      <c r="GU37" s="1"/>
      <c r="GV37" s="1"/>
      <c r="HC37" s="1"/>
      <c r="HM37" s="1"/>
      <c r="HN37" s="1"/>
      <c r="HR37" s="1"/>
      <c r="HW37" s="1"/>
      <c r="ID37" s="1"/>
      <c r="IV37" s="1"/>
      <c r="JK37" s="1"/>
      <c r="JL37" s="1"/>
      <c r="JM37" s="1"/>
      <c r="AJU37" s="1"/>
      <c r="AJW37" s="1"/>
      <c r="AJZ37" s="1"/>
    </row>
    <row r="44" spans="166:962" x14ac:dyDescent="0.3">
      <c r="QU44" t="s">
        <v>1303</v>
      </c>
      <c r="QV44">
        <v>2022</v>
      </c>
    </row>
    <row r="45" spans="166:962" x14ac:dyDescent="0.3">
      <c r="QV45" t="s">
        <v>1302</v>
      </c>
      <c r="QW45" t="s">
        <v>1304</v>
      </c>
      <c r="QX45" t="s">
        <v>1305</v>
      </c>
      <c r="QY45" t="s">
        <v>1306</v>
      </c>
      <c r="QZ45" t="s">
        <v>1307</v>
      </c>
      <c r="RA45" t="s">
        <v>1308</v>
      </c>
      <c r="RB45" t="s">
        <v>1309</v>
      </c>
      <c r="RC45" t="s">
        <v>1311</v>
      </c>
      <c r="RD45" t="s">
        <v>1310</v>
      </c>
    </row>
    <row r="46" spans="166:962" x14ac:dyDescent="0.3">
      <c r="QV46">
        <v>12870</v>
      </c>
      <c r="QW46">
        <v>50485</v>
      </c>
      <c r="QX46">
        <v>6.2</v>
      </c>
      <c r="QZ46">
        <v>11810</v>
      </c>
      <c r="RA46">
        <v>70695</v>
      </c>
      <c r="RB46">
        <v>10085</v>
      </c>
      <c r="RC46">
        <v>45025</v>
      </c>
      <c r="RD46">
        <v>32067</v>
      </c>
      <c r="RE46">
        <f>SUM(QV46:RD46)</f>
        <v>233043.20000000001</v>
      </c>
    </row>
    <row r="47" spans="166:962" x14ac:dyDescent="0.3">
      <c r="QV47">
        <f>QV46/$RE$46</f>
        <v>5.5225812209925021E-2</v>
      </c>
      <c r="QW47">
        <f t="shared" ref="QW47:RD47" si="0">QW46/$RE$46</f>
        <v>0.21663365418943784</v>
      </c>
      <c r="QX47">
        <f t="shared" si="0"/>
        <v>2.6604509378518662E-5</v>
      </c>
      <c r="QY47">
        <f t="shared" si="0"/>
        <v>0</v>
      </c>
      <c r="QZ47">
        <f t="shared" si="0"/>
        <v>5.0677299316178287E-2</v>
      </c>
      <c r="RA47">
        <f t="shared" si="0"/>
        <v>0.30335577266360914</v>
      </c>
      <c r="RB47">
        <f t="shared" si="0"/>
        <v>4.3275238239090436E-2</v>
      </c>
      <c r="RC47">
        <f t="shared" si="0"/>
        <v>0.19320452173674235</v>
      </c>
      <c r="RD47">
        <f t="shared" si="0"/>
        <v>0.13760109713563837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fake_data_energy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Padmasiri</dc:creator>
  <cp:lastModifiedBy>Ranjith Padmasiri</cp:lastModifiedBy>
  <dcterms:created xsi:type="dcterms:W3CDTF">2025-11-29T09:32:54Z</dcterms:created>
  <dcterms:modified xsi:type="dcterms:W3CDTF">2025-12-07T08:06:50Z</dcterms:modified>
</cp:coreProperties>
</file>
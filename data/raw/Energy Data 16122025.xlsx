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MR\Backup\UN\UN Consultancies\UNOPS\Working Documents\"/>
    </mc:Choice>
  </mc:AlternateContent>
  <xr:revisionPtr revIDLastSave="0" documentId="13_ncr:1_{BDEE163A-4F70-4871-8EC8-A33BCB349A05}" xr6:coauthVersionLast="47" xr6:coauthVersionMax="47" xr10:uidLastSave="{00000000-0000-0000-0000-000000000000}"/>
  <bookViews>
    <workbookView xWindow="-108" yWindow="-108" windowWidth="23256" windowHeight="13176" xr2:uid="{FFBCD67B-FDA9-4D21-8AC9-76BD28CDBC7B}"/>
  </bookViews>
  <sheets>
    <sheet name="fake_data_ener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B18" i="1" l="1"/>
  <c r="ANB19" i="1"/>
  <c r="ANB20" i="1"/>
  <c r="ANB21" i="1"/>
  <c r="ANB22" i="1"/>
  <c r="ANB23" i="1"/>
  <c r="ANB24" i="1"/>
  <c r="ANB17" i="1"/>
  <c r="AMX18" i="1"/>
  <c r="AMX19" i="1"/>
  <c r="AMX20" i="1"/>
  <c r="AMX21" i="1"/>
  <c r="AMX22" i="1"/>
  <c r="AMX23" i="1"/>
  <c r="AMX24" i="1"/>
  <c r="AMX17" i="1"/>
  <c r="AMT18" i="1"/>
  <c r="AMT19" i="1"/>
  <c r="AMT20" i="1"/>
  <c r="AMT21" i="1"/>
  <c r="AMT22" i="1"/>
  <c r="AMT23" i="1"/>
  <c r="AMT24" i="1"/>
  <c r="AMT17" i="1"/>
  <c r="AMP18" i="1"/>
  <c r="AMP19" i="1"/>
  <c r="AMP20" i="1"/>
  <c r="AMP21" i="1"/>
  <c r="AMP22" i="1"/>
  <c r="AMP23" i="1"/>
  <c r="AMP24" i="1"/>
  <c r="AMP17" i="1"/>
  <c r="AEG16" i="1"/>
  <c r="ADZ16" i="1"/>
  <c r="ADU16" i="1"/>
  <c r="ADC16" i="1"/>
  <c r="AAZ16" i="1"/>
  <c r="AAM16" i="1"/>
  <c r="ZZ15" i="1"/>
  <c r="XZ16" i="1"/>
  <c r="XM16" i="1"/>
  <c r="WZ16" i="1"/>
  <c r="WM16" i="1"/>
  <c r="VZ16" i="1"/>
  <c r="VL16" i="1"/>
  <c r="UY16" i="1"/>
  <c r="UL16" i="1"/>
  <c r="TY16" i="1"/>
  <c r="TL16" i="1"/>
  <c r="SY16" i="1"/>
  <c r="AND22" i="1" l="1"/>
  <c r="AND20" i="1"/>
  <c r="AMU20" i="1" s="1"/>
  <c r="AND17" i="1"/>
  <c r="AMY17" i="1" s="1"/>
  <c r="AND19" i="1"/>
  <c r="ANC19" i="1" s="1"/>
  <c r="AND24" i="1"/>
  <c r="AMQ24" i="1" s="1"/>
  <c r="AND18" i="1"/>
  <c r="AND23" i="1"/>
  <c r="AMQ23" i="1" s="1"/>
  <c r="AND21" i="1"/>
  <c r="AMY21" i="1" s="1"/>
  <c r="SL16" i="1"/>
  <c r="BG34" i="1"/>
  <c r="BG35" i="1"/>
  <c r="BG36" i="1"/>
  <c r="BG37" i="1"/>
  <c r="BG38" i="1"/>
  <c r="BG39" i="1"/>
  <c r="BG40" i="1"/>
  <c r="BG33" i="1"/>
  <c r="AR44" i="1"/>
  <c r="AR45" i="1"/>
  <c r="AR46" i="1"/>
  <c r="AR47" i="1"/>
  <c r="AR48" i="1"/>
  <c r="AR49" i="1"/>
  <c r="AR50" i="1"/>
  <c r="AR43" i="1"/>
  <c r="AP44" i="1"/>
  <c r="AP45" i="1"/>
  <c r="AP46" i="1"/>
  <c r="AP47" i="1"/>
  <c r="AP48" i="1"/>
  <c r="AP49" i="1"/>
  <c r="AP50" i="1"/>
  <c r="AP43" i="1"/>
  <c r="AN44" i="1"/>
  <c r="AN45" i="1"/>
  <c r="AN46" i="1"/>
  <c r="AN47" i="1"/>
  <c r="AN48" i="1"/>
  <c r="AN49" i="1"/>
  <c r="AN50" i="1"/>
  <c r="AN43" i="1"/>
  <c r="AM8" i="1"/>
  <c r="AM9" i="1"/>
  <c r="AM10" i="1"/>
  <c r="AM11" i="1"/>
  <c r="AM12" i="1"/>
  <c r="AM13" i="1"/>
  <c r="AM7" i="1"/>
  <c r="AZ34" i="1"/>
  <c r="AZ35" i="1"/>
  <c r="AZ36" i="1"/>
  <c r="AZ37" i="1"/>
  <c r="AZ38" i="1"/>
  <c r="AZ39" i="1"/>
  <c r="AZ40" i="1"/>
  <c r="AZ33" i="1"/>
  <c r="AQ34" i="1"/>
  <c r="AQ35" i="1"/>
  <c r="AQ36" i="1"/>
  <c r="AQ37" i="1"/>
  <c r="AQ38" i="1"/>
  <c r="AQ39" i="1"/>
  <c r="AQ40" i="1"/>
  <c r="AQ33" i="1"/>
  <c r="AR34" i="1"/>
  <c r="AT34" i="1" s="1"/>
  <c r="AR35" i="1"/>
  <c r="AT35" i="1" s="1"/>
  <c r="AR36" i="1"/>
  <c r="AT36" i="1" s="1"/>
  <c r="AR37" i="1"/>
  <c r="AT37" i="1" s="1"/>
  <c r="AR38" i="1"/>
  <c r="AT38" i="1" s="1"/>
  <c r="AR39" i="1"/>
  <c r="AT39" i="1" s="1"/>
  <c r="AR40" i="1"/>
  <c r="AT40" i="1" s="1"/>
  <c r="AR33" i="1"/>
  <c r="AT33" i="1" s="1"/>
  <c r="AMQ20" i="1" l="1"/>
  <c r="ANC20" i="1"/>
  <c r="ANC21" i="1"/>
  <c r="AMQ21" i="1"/>
  <c r="AMK23" i="1"/>
  <c r="AMY23" i="1"/>
  <c r="AMM23" i="1"/>
  <c r="AMM22" i="1"/>
  <c r="AMK22" i="1"/>
  <c r="AMQ22" i="1"/>
  <c r="AU38" i="1"/>
  <c r="AV38" i="1" s="1"/>
  <c r="AMM18" i="1"/>
  <c r="AMU18" i="1"/>
  <c r="AMK18" i="1"/>
  <c r="ANC18" i="1"/>
  <c r="AMY18" i="1"/>
  <c r="AMU23" i="1"/>
  <c r="AU37" i="1"/>
  <c r="AV37" i="1" s="1"/>
  <c r="AMM24" i="1"/>
  <c r="AMU24" i="1"/>
  <c r="AMK24" i="1"/>
  <c r="ANC24" i="1"/>
  <c r="AMY24" i="1"/>
  <c r="AMM19" i="1"/>
  <c r="AMK19" i="1"/>
  <c r="AMQ19" i="1"/>
  <c r="AMY22" i="1"/>
  <c r="AMU22" i="1"/>
  <c r="AU40" i="1"/>
  <c r="AV40" i="1" s="1"/>
  <c r="AU34" i="1"/>
  <c r="AW34" i="1" s="1"/>
  <c r="AY34" i="1" s="1"/>
  <c r="AMM17" i="1"/>
  <c r="AMK17" i="1"/>
  <c r="ANC17" i="1"/>
  <c r="AMQ17" i="1"/>
  <c r="AMU19" i="1"/>
  <c r="ANC22" i="1"/>
  <c r="AU39" i="1"/>
  <c r="AV39" i="1" s="1"/>
  <c r="AMM21" i="1"/>
  <c r="AMU21" i="1"/>
  <c r="AMK21" i="1"/>
  <c r="AMK20" i="1"/>
  <c r="AMY20" i="1"/>
  <c r="AMM20" i="1"/>
  <c r="AMQ18" i="1"/>
  <c r="AMY19" i="1"/>
  <c r="AMU17" i="1"/>
  <c r="ANC23" i="1"/>
  <c r="AV34" i="1"/>
  <c r="AU36" i="1"/>
  <c r="AV36" i="1" s="1"/>
  <c r="AU33" i="1"/>
  <c r="AV33" i="1" s="1"/>
  <c r="AU35" i="1"/>
  <c r="AV35" i="1" s="1"/>
  <c r="AN34" i="1"/>
  <c r="AN35" i="1"/>
  <c r="AN36" i="1"/>
  <c r="AN37" i="1"/>
  <c r="AN38" i="1"/>
  <c r="AN39" i="1"/>
  <c r="AN40" i="1"/>
  <c r="AN33" i="1"/>
  <c r="AI37" i="1"/>
  <c r="AI38" i="1" s="1"/>
  <c r="AI39" i="1" s="1"/>
  <c r="AW37" i="1" l="1"/>
  <c r="AY37" i="1" s="1"/>
  <c r="AW38" i="1"/>
  <c r="AY38" i="1" s="1"/>
  <c r="AW39" i="1"/>
  <c r="AY39" i="1" s="1"/>
  <c r="AW36" i="1"/>
  <c r="AY36" i="1" s="1"/>
  <c r="AW40" i="1"/>
  <c r="AY40" i="1" s="1"/>
  <c r="AW35" i="1"/>
  <c r="AY35" i="1" s="1"/>
  <c r="AW33" i="1"/>
  <c r="AY33" i="1" s="1"/>
  <c r="AFR19" i="1"/>
  <c r="AFK18" i="1"/>
  <c r="AFJ17" i="1" s="1"/>
  <c r="AFJ16" i="1" l="1"/>
  <c r="AFJ15" i="1"/>
  <c r="RE50" i="1"/>
  <c r="RA51" i="1" s="1"/>
  <c r="QZ51" i="1" l="1"/>
  <c r="QV51" i="1"/>
  <c r="QY51" i="1"/>
  <c r="RD51" i="1"/>
  <c r="QX51" i="1"/>
  <c r="RC51" i="1"/>
  <c r="QW51" i="1"/>
  <c r="RB51" i="1"/>
</calcChain>
</file>

<file path=xl/sharedStrings.xml><?xml version="1.0" encoding="utf-8"?>
<sst xmlns="http://schemas.openxmlformats.org/spreadsheetml/2006/main" count="1392" uniqueCount="1380">
  <si>
    <t>time_period</t>
  </si>
  <si>
    <t>area_gnrl_country_ha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</si>
  <si>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</si>
  <si>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</si>
  <si>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</si>
  <si>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</si>
  <si>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climate_change_factor_gnrl_hydropower_availability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</si>
  <si>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</si>
  <si>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</si>
  <si>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</si>
  <si>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</si>
  <si>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</si>
  <si>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</si>
  <si>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</si>
  <si>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</si>
  <si>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</si>
  <si>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</si>
  <si>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</si>
  <si>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</si>
  <si>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</si>
  <si>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</si>
  <si>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</si>
  <si>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</si>
  <si>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</si>
  <si>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</si>
  <si>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</si>
  <si>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</si>
  <si>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</si>
  <si>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</si>
  <si>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</si>
  <si>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</si>
  <si>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</si>
  <si>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</si>
  <si>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</si>
  <si>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cost_enfu_fuel_biofuels_usd_per_m3</t>
  </si>
  <si>
    <t>cost_enfu_fuel_biogas_usd_per_mmbtu</t>
  </si>
  <si>
    <t>cost_enfu_fuel_biomass_usd_per_m3</t>
  </si>
  <si>
    <t>cost_enfu_fuel_biomass_usd_per_tonne</t>
  </si>
  <si>
    <t>cost_enfu_fuel_coal_usd_per_m3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</si>
  <si>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</si>
  <si>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</si>
  <si>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</si>
  <si>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</si>
  <si>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</si>
  <si>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</si>
  <si>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</si>
  <si>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</si>
  <si>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cost_enfu_fuel_hydrocarbon_gas_liquids_usd_per_tonne</t>
  </si>
  <si>
    <t>cost_enfu_fuel_hydrogen_usd_per_mmbtu</t>
  </si>
  <si>
    <t>cost_enfu_fuel_hydrogen_usd_per_tonne</t>
  </si>
  <si>
    <t>cost_enfu_fuel_kerosene_usd_per_m3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</si>
  <si>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</si>
  <si>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</si>
  <si>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</si>
  <si>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</si>
  <si>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dem_ippu_average_materials_tonne_per_household_cement</t>
  </si>
  <si>
    <t>dem_ippu_average_materials_tonne_per_household_wood</t>
  </si>
  <si>
    <t>deminit_trde_freight_mt_km</t>
  </si>
  <si>
    <t>deminit_trde_private_and_public_per_capita_passenger_km</t>
  </si>
  <si>
    <t>deminit_trde_regional_per_capita_passenger_km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</si>
  <si>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</si>
  <si>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</si>
  <si>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</si>
  <si>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</si>
  <si>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</si>
  <si>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</si>
  <si>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</si>
  <si>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</si>
  <si>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</si>
  <si>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</si>
  <si>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</si>
  <si>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</si>
  <si>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</si>
  <si>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</si>
  <si>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</si>
  <si>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</si>
  <si>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</si>
  <si>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demscalar_ippu_recycled_glass</t>
  </si>
  <si>
    <t>demscalar_ippu_recycled_metals</t>
  </si>
  <si>
    <t>demscalar_ippu_recycled_paper</t>
  </si>
  <si>
    <t>demscalar_ippu_recycled_plastic</t>
  </si>
  <si>
    <t>demscalar_ippu_recycled_rubber_and_leather</t>
  </si>
  <si>
    <t>demscalar_ippu_recycled_textiles</t>
  </si>
  <si>
    <t>demscalar_ippu_recycled_wood</t>
  </si>
  <si>
    <t>demscalar_ippu_rubber_and_leather</t>
  </si>
  <si>
    <t>demscalar_ippu_textiles</t>
  </si>
  <si>
    <t>demscalar_ippu_wood</t>
  </si>
  <si>
    <t>demscalar_trde_freight</t>
  </si>
  <si>
    <t>demscalar_trde_private_and_public</t>
  </si>
  <si>
    <t>demscalar_trde_regional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</si>
  <si>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</si>
  <si>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</si>
  <si>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</si>
  <si>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</si>
  <si>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</si>
  <si>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</si>
  <si>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</si>
  <si>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</si>
  <si>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</si>
  <si>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</si>
  <si>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</si>
  <si>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</si>
  <si>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</si>
  <si>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</si>
  <si>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ef_enfu_combustion_tonne_co2_per_tj_fuel_water</t>
  </si>
  <si>
    <t>ef_enfu_combustion_tonne_co2_per_tj_fuel_kerosene</t>
  </si>
  <si>
    <t>ef_enfu_combustion_tonne_co2_per_tj_fuel_natural_gas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</si>
  <si>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</si>
  <si>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</si>
  <si>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</si>
  <si>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</si>
  <si>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</si>
  <si>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</si>
  <si>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</si>
  <si>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ef_enfu_combustion_tonne_co2_per_tj_fuel_wind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</si>
  <si>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</si>
  <si>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</si>
  <si>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</si>
  <si>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</si>
  <si>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</si>
  <si>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</si>
  <si>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</si>
  <si>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</si>
  <si>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</si>
  <si>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</si>
  <si>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</si>
  <si>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</si>
  <si>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</si>
  <si>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</si>
  <si>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ef_enfu_stationary_combustion_tonne_ch4_per_tj_fuel_water</t>
  </si>
  <si>
    <t>ef_enfu_stationary_combustion_tonne_ch4_per_tj_fuel_kerosene</t>
  </si>
  <si>
    <t>ef_enfu_stationary_combustion_tonne_ch4_per_tj_fuel_natural_gas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</si>
  <si>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</si>
  <si>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</si>
  <si>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</si>
  <si>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</si>
  <si>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</si>
  <si>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</si>
  <si>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</si>
  <si>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ef_enfu_stationary_combustion_tonne_ch4_per_tj_fuel_wind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</si>
  <si>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</si>
  <si>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</si>
  <si>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</si>
  <si>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</si>
  <si>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</si>
  <si>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</si>
  <si>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</si>
  <si>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</si>
  <si>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</si>
  <si>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</si>
  <si>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</si>
  <si>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</si>
  <si>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</si>
  <si>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</si>
  <si>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ef_enfu_stationary_combustion_tonne_n2o_per_tj_fuel_water</t>
  </si>
  <si>
    <t>ef_enfu_stationary_combustion_tonne_n2o_per_tj_fuel_kerosene</t>
  </si>
  <si>
    <t>ef_enfu_stationary_combustion_tonne_n2o_per_tj_fuel_natural_gas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</si>
  <si>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</si>
  <si>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</si>
  <si>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</si>
  <si>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</si>
  <si>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</si>
  <si>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</si>
  <si>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</si>
  <si>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ef_enfu_stationary_combustion_tonne_n2o_per_tj_fuel_wind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</si>
  <si>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</si>
  <si>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</si>
  <si>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</si>
  <si>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</si>
  <si>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</si>
  <si>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</si>
  <si>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</si>
  <si>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</si>
  <si>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</si>
  <si>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</si>
  <si>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</si>
  <si>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</si>
  <si>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</si>
  <si>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</si>
  <si>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</si>
  <si>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</si>
  <si>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</si>
  <si>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</si>
  <si>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</si>
  <si>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</si>
  <si>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</si>
  <si>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</si>
  <si>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</si>
  <si>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</si>
  <si>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</si>
  <si>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</si>
  <si>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</si>
  <si>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</si>
  <si>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</si>
  <si>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</si>
  <si>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</si>
  <si>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</si>
  <si>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</si>
  <si>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</si>
  <si>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</si>
  <si>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</si>
  <si>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</si>
  <si>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</si>
  <si>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</si>
  <si>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</si>
  <si>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</si>
  <si>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</si>
  <si>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</si>
  <si>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</si>
  <si>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</si>
  <si>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</si>
  <si>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</si>
  <si>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</si>
  <si>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</si>
  <si>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</si>
  <si>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</si>
  <si>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</si>
  <si>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</si>
  <si>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</si>
  <si>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</si>
  <si>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</si>
  <si>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</si>
  <si>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</si>
  <si>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</si>
  <si>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</si>
  <si>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</si>
  <si>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</si>
  <si>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</si>
  <si>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</si>
  <si>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</si>
  <si>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</si>
  <si>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</si>
  <si>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</si>
  <si>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</si>
  <si>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</si>
  <si>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</si>
  <si>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</si>
  <si>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</si>
  <si>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</si>
  <si>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</si>
  <si>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</si>
  <si>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</si>
  <si>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</si>
  <si>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</si>
  <si>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</si>
  <si>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</si>
  <si>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</si>
  <si>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</si>
  <si>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</si>
  <si>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</si>
  <si>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</si>
  <si>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</si>
  <si>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</si>
  <si>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</si>
  <si>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</si>
  <si>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</si>
  <si>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</si>
  <si>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</si>
  <si>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</si>
  <si>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</si>
  <si>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</si>
  <si>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</si>
  <si>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</si>
  <si>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</si>
  <si>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</si>
  <si>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</si>
  <si>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</si>
  <si>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</si>
  <si>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</si>
  <si>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</si>
  <si>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</si>
  <si>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</si>
  <si>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</si>
  <si>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</si>
  <si>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</si>
  <si>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</si>
  <si>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</si>
  <si>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</si>
  <si>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</si>
  <si>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</si>
  <si>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</si>
  <si>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</si>
  <si>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</si>
  <si>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</si>
  <si>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</si>
  <si>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</si>
  <si>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</si>
  <si>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</si>
  <si>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</si>
  <si>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</si>
  <si>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</si>
  <si>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</si>
  <si>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</si>
  <si>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</si>
  <si>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</si>
  <si>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</si>
  <si>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</si>
  <si>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</si>
  <si>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</si>
  <si>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</si>
  <si>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</si>
  <si>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</si>
  <si>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</si>
  <si>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</si>
  <si>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</si>
  <si>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</si>
  <si>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</si>
  <si>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</si>
  <si>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</si>
  <si>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</si>
  <si>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</si>
  <si>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</si>
  <si>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</si>
  <si>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</si>
  <si>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</si>
  <si>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</si>
  <si>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</si>
  <si>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</si>
  <si>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</si>
  <si>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</si>
  <si>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</si>
  <si>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</si>
  <si>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</si>
  <si>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</si>
  <si>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</si>
  <si>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ef_trns_mobile_combustion_water_borne_kg_n2o_per_tj_diesel</t>
  </si>
  <si>
    <t>ef_trns_mobile_combustion_water_borne_kg_n2o_per_tj_natural_gas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</si>
  <si>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</si>
  <si>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</si>
  <si>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</si>
  <si>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</si>
  <si>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</si>
  <si>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</si>
  <si>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</si>
  <si>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</si>
  <si>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</si>
  <si>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</si>
  <si>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</si>
  <si>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</si>
  <si>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</si>
  <si>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</si>
  <si>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</si>
  <si>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</si>
  <si>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</si>
  <si>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</si>
  <si>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</si>
  <si>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</si>
  <si>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</si>
  <si>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</si>
  <si>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</si>
  <si>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</si>
  <si>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</si>
  <si>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</si>
  <si>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</si>
  <si>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</si>
  <si>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</si>
  <si>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</si>
  <si>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</si>
  <si>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</si>
  <si>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</si>
  <si>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</si>
  <si>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</si>
  <si>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</si>
  <si>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</si>
  <si>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</si>
  <si>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</si>
  <si>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</si>
  <si>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</si>
  <si>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</si>
  <si>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</si>
  <si>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</si>
  <si>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</si>
  <si>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</si>
  <si>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</si>
  <si>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</si>
  <si>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</si>
  <si>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</si>
  <si>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</si>
  <si>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</si>
  <si>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</si>
  <si>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</si>
  <si>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</si>
  <si>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</si>
  <si>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</si>
  <si>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</si>
  <si>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</si>
  <si>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</si>
  <si>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</si>
  <si>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elasticity_gnrl_rate_occupancy_to_gdppc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</si>
  <si>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</si>
  <si>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</si>
  <si>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</si>
  <si>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</si>
  <si>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</si>
  <si>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</si>
  <si>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</si>
  <si>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</si>
  <si>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</si>
  <si>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</si>
  <si>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</si>
  <si>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</si>
  <si>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</si>
  <si>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</si>
  <si>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</si>
  <si>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</si>
  <si>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</si>
  <si>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</si>
  <si>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</si>
  <si>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</si>
  <si>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</si>
  <si>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</si>
  <si>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elasticity_trde_mtkm_to_gdp_freight</t>
  </si>
  <si>
    <t>elasticity_trde_pkm_to_gdppc_private_and_public</t>
  </si>
  <si>
    <t>elasticity_trde_pkm_to_gdppc_regional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</si>
  <si>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</si>
  <si>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</si>
  <si>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</si>
  <si>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</si>
  <si>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</si>
  <si>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</si>
  <si>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</si>
  <si>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</si>
  <si>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</si>
  <si>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emitinit_ippu_product_use_other_kt_co2</t>
  </si>
  <si>
    <t>energy_intensity_ccsq_direct_air_capture_gj_per_tonne_co2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</si>
  <si>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</si>
  <si>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</si>
  <si>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</si>
  <si>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</si>
  <si>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</si>
  <si>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</si>
  <si>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</si>
  <si>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</si>
  <si>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</si>
  <si>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</si>
  <si>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</si>
  <si>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</si>
  <si>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</si>
  <si>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energydensity_enfu_mj_per_litre_fuel_oil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</si>
  <si>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</si>
  <si>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</si>
  <si>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</si>
  <si>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</si>
  <si>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</si>
  <si>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</si>
  <si>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energydensity_gravimetric_enfu_gj_per_tonne_fuel_nuclear</t>
  </si>
  <si>
    <t>energydensity_gravimetric_enfu_gj_per_tonne_fuel_waste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</si>
  <si>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</si>
  <si>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</si>
  <si>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</si>
  <si>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</si>
  <si>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</si>
  <si>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</si>
  <si>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</si>
  <si>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</si>
  <si>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</si>
  <si>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exports_enfu_pj_fuel_oil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</si>
  <si>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</si>
  <si>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</si>
  <si>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</si>
  <si>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</si>
  <si>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</si>
  <si>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</si>
  <si>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</si>
  <si>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</si>
  <si>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</si>
  <si>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</si>
  <si>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</si>
  <si>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</si>
  <si>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</si>
  <si>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</si>
  <si>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</si>
  <si>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</si>
  <si>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</si>
  <si>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</si>
  <si>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</si>
  <si>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</si>
  <si>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</si>
  <si>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</si>
  <si>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</si>
  <si>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</si>
  <si>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</si>
  <si>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</si>
  <si>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</si>
  <si>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</si>
  <si>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</si>
  <si>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</si>
  <si>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</si>
  <si>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</si>
  <si>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frac_fgtv_drained_and_waste_ch4_flared_fuel_coal</t>
  </si>
  <si>
    <t>frac_fgtv_drained_and_waste_ch4_flared_fuel_oil</t>
  </si>
  <si>
    <t>frac_fgtv_reduction_in_fugitive_leaks</t>
  </si>
  <si>
    <t>frac_gnrl_eating_red_meat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</si>
  <si>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</si>
  <si>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</si>
  <si>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</si>
  <si>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</si>
  <si>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</si>
  <si>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</si>
  <si>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</si>
  <si>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</si>
  <si>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</si>
  <si>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</si>
  <si>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</si>
  <si>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</si>
  <si>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</si>
  <si>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</si>
  <si>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</si>
  <si>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</si>
  <si>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</si>
  <si>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</si>
  <si>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</si>
  <si>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</si>
  <si>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</si>
  <si>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</si>
  <si>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</si>
  <si>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</si>
  <si>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</si>
  <si>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</si>
  <si>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</si>
  <si>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</si>
  <si>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</si>
  <si>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</si>
  <si>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</si>
  <si>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</si>
  <si>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</si>
  <si>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</si>
  <si>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</si>
  <si>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</si>
  <si>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</si>
  <si>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</si>
  <si>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</si>
  <si>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</si>
  <si>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</si>
  <si>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</si>
  <si>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</si>
  <si>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</si>
  <si>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</si>
  <si>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</si>
  <si>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</si>
  <si>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</si>
  <si>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</si>
  <si>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</si>
  <si>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</si>
  <si>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</si>
  <si>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</si>
  <si>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</si>
  <si>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</si>
  <si>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</si>
  <si>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</si>
  <si>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</si>
  <si>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</si>
  <si>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</si>
  <si>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</si>
  <si>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</si>
  <si>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</si>
  <si>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</si>
  <si>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</si>
  <si>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</si>
  <si>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</si>
  <si>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</si>
  <si>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</si>
  <si>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</si>
  <si>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</si>
  <si>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</si>
  <si>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</si>
  <si>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</si>
  <si>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</si>
  <si>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</si>
  <si>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</si>
  <si>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</si>
  <si>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</si>
  <si>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</si>
  <si>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</si>
  <si>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</si>
  <si>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</si>
  <si>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</si>
  <si>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</si>
  <si>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</si>
  <si>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</si>
  <si>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</si>
  <si>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</si>
  <si>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</si>
  <si>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</si>
  <si>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</si>
  <si>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</si>
  <si>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</si>
  <si>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</si>
  <si>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</si>
  <si>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</si>
  <si>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</si>
  <si>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</si>
  <si>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</si>
  <si>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</si>
  <si>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</si>
  <si>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</si>
  <si>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</si>
  <si>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</si>
  <si>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</si>
  <si>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</si>
  <si>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</si>
  <si>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</si>
  <si>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</si>
  <si>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</si>
  <si>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</si>
  <si>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</si>
  <si>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</si>
  <si>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</si>
  <si>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</si>
  <si>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</si>
  <si>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</si>
  <si>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</si>
  <si>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</si>
  <si>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</si>
  <si>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</si>
  <si>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</si>
  <si>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</si>
  <si>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</si>
  <si>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</si>
  <si>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</si>
  <si>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</si>
  <si>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</si>
  <si>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</si>
  <si>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</si>
  <si>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</si>
  <si>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</si>
  <si>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</si>
  <si>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</si>
  <si>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</si>
  <si>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</si>
  <si>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</si>
  <si>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</si>
  <si>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</si>
  <si>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</si>
  <si>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</si>
  <si>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</si>
  <si>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</si>
  <si>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</si>
  <si>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</si>
  <si>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</si>
  <si>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</si>
  <si>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</si>
  <si>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</si>
  <si>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</si>
  <si>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</si>
  <si>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</si>
  <si>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</si>
  <si>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</si>
  <si>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</si>
  <si>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</si>
  <si>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</si>
  <si>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</si>
  <si>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</si>
  <si>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</si>
  <si>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</si>
  <si>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</si>
  <si>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</si>
  <si>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</si>
  <si>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</si>
  <si>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</si>
  <si>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</si>
  <si>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</si>
  <si>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</si>
  <si>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</si>
  <si>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</si>
  <si>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</si>
  <si>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</si>
  <si>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</si>
  <si>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</si>
  <si>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</si>
  <si>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</si>
  <si>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</si>
  <si>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</si>
  <si>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</si>
  <si>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</si>
  <si>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</si>
  <si>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</si>
  <si>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</si>
  <si>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</si>
  <si>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</si>
  <si>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</si>
  <si>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</si>
  <si>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</si>
  <si>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</si>
  <si>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</si>
  <si>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</si>
  <si>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</si>
  <si>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</si>
  <si>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</si>
  <si>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</si>
  <si>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</si>
  <si>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</si>
  <si>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</si>
  <si>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</si>
  <si>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</si>
  <si>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</si>
  <si>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</si>
  <si>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</si>
  <si>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</si>
  <si>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</si>
  <si>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</si>
  <si>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</si>
  <si>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</si>
  <si>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</si>
  <si>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</si>
  <si>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</si>
  <si>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</si>
  <si>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</si>
  <si>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</si>
  <si>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</si>
  <si>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</si>
  <si>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</si>
  <si>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</si>
  <si>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</si>
  <si>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</si>
  <si>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</si>
  <si>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</si>
  <si>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</si>
  <si>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</si>
  <si>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</si>
  <si>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</si>
  <si>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</si>
  <si>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</si>
  <si>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</si>
  <si>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</si>
  <si>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</si>
  <si>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</si>
  <si>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</si>
  <si>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</si>
  <si>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</si>
  <si>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</si>
  <si>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</si>
  <si>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</si>
  <si>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</si>
  <si>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</si>
  <si>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</si>
  <si>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</si>
  <si>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</si>
  <si>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</si>
  <si>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</si>
  <si>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</si>
  <si>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</si>
  <si>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</si>
  <si>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</si>
  <si>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</si>
  <si>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</si>
  <si>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</si>
  <si>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</si>
  <si>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</si>
  <si>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</si>
  <si>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</si>
  <si>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</si>
  <si>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</si>
  <si>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</si>
  <si>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</si>
  <si>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</si>
  <si>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</si>
  <si>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</si>
  <si>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</si>
  <si>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</si>
  <si>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</si>
  <si>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</si>
  <si>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</si>
  <si>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</si>
  <si>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</si>
  <si>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</si>
  <si>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</si>
  <si>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</si>
  <si>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</si>
  <si>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</si>
  <si>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</si>
  <si>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</si>
  <si>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</si>
  <si>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</si>
  <si>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</si>
  <si>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</si>
  <si>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</si>
  <si>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</si>
  <si>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</si>
  <si>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</si>
  <si>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</si>
  <si>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</si>
  <si>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</si>
  <si>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</si>
  <si>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</si>
  <si>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</si>
  <si>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</si>
  <si>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</si>
  <si>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</si>
  <si>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</si>
  <si>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</si>
  <si>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</si>
  <si>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</si>
  <si>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</si>
  <si>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</si>
  <si>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</si>
  <si>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</si>
  <si>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</si>
  <si>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</si>
  <si>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</si>
  <si>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</si>
  <si>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</si>
  <si>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</si>
  <si>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</si>
  <si>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</si>
  <si>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</si>
  <si>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</si>
  <si>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</si>
  <si>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</si>
  <si>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</si>
  <si>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</si>
  <si>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</si>
  <si>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</si>
  <si>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</si>
  <si>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</si>
  <si>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</si>
  <si>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</si>
  <si>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</si>
  <si>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</si>
  <si>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</si>
  <si>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</si>
  <si>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</si>
  <si>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</si>
  <si>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</si>
  <si>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</si>
  <si>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</si>
  <si>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</si>
  <si>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</si>
  <si>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</si>
  <si>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</si>
  <si>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</si>
  <si>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</si>
  <si>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</si>
  <si>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</si>
  <si>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</si>
  <si>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</si>
  <si>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</si>
  <si>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</si>
  <si>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</si>
  <si>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</si>
  <si>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</si>
  <si>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</si>
  <si>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</si>
  <si>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</si>
  <si>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</si>
  <si>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</si>
  <si>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</si>
  <si>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</si>
  <si>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</si>
  <si>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</si>
  <si>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</si>
  <si>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</si>
  <si>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</si>
  <si>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</si>
  <si>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</si>
  <si>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</si>
  <si>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</si>
  <si>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</si>
  <si>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</si>
  <si>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</si>
  <si>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</si>
  <si>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</si>
  <si>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</si>
  <si>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</si>
  <si>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</si>
  <si>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</si>
  <si>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</si>
  <si>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</si>
  <si>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</si>
  <si>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</si>
  <si>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</si>
  <si>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</si>
  <si>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</si>
  <si>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</si>
  <si>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</si>
  <si>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</si>
  <si>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</si>
  <si>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</si>
  <si>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</si>
  <si>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</si>
  <si>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</si>
  <si>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</si>
  <si>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</si>
  <si>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</si>
  <si>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</si>
  <si>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</si>
  <si>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</si>
  <si>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</si>
  <si>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</si>
  <si>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</si>
  <si>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</si>
  <si>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</si>
  <si>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</si>
  <si>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</si>
  <si>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</si>
  <si>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</si>
  <si>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</si>
  <si>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</si>
  <si>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</si>
  <si>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</si>
  <si>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gdp_mmm_usd</t>
  </si>
  <si>
    <t>limit_gnrl_annual_emissions_mt_ch4</t>
  </si>
  <si>
    <t>limit_gnrl_annual_emissions_mt_co2</t>
  </si>
  <si>
    <t>limit_gnrl_annual_emissions_mt_n2o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</si>
  <si>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</si>
  <si>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</si>
  <si>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</si>
  <si>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</si>
  <si>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nemomod_enfu_renewable_energy_minimum_production_target_fuel_electricity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</si>
  <si>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</si>
  <si>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</si>
  <si>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</si>
  <si>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</si>
  <si>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</si>
  <si>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</si>
  <si>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</si>
  <si>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</si>
  <si>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</si>
  <si>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</si>
  <si>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</si>
  <si>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</si>
  <si>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</si>
  <si>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</si>
  <si>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</si>
  <si>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</si>
  <si>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</si>
  <si>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</si>
  <si>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</si>
  <si>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</si>
  <si>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</si>
  <si>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</si>
  <si>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</si>
  <si>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</si>
  <si>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</si>
  <si>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</si>
  <si>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</si>
  <si>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</si>
  <si>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nemomod_entc_capital_cost_fp_hydrogen_electrolysis_mm_usd_per_gw</t>
  </si>
  <si>
    <t>nemomod_entc_capital_cost_fp_hydrogen_gasification_mm_usd_per_gw</t>
  </si>
  <si>
    <t>nemomod_entc_capital_cost_fp_hydrogen_reformation_mm_usd_per_gw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</si>
  <si>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</si>
  <si>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</si>
  <si>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</si>
  <si>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</si>
  <si>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</si>
  <si>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</si>
  <si>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</si>
  <si>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</si>
  <si>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</si>
  <si>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</si>
  <si>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</si>
  <si>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</si>
  <si>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</si>
  <si>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</si>
  <si>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</si>
  <si>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</si>
  <si>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</si>
  <si>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</si>
  <si>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</si>
  <si>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</si>
  <si>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</si>
  <si>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</si>
  <si>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</si>
  <si>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</si>
  <si>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</si>
  <si>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</si>
  <si>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</si>
  <si>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</si>
  <si>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</si>
  <si>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</si>
  <si>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</si>
  <si>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</si>
  <si>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</si>
  <si>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</si>
  <si>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</si>
  <si>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</si>
  <si>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</si>
  <si>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</si>
  <si>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</si>
  <si>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</si>
  <si>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</si>
  <si>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</si>
  <si>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</si>
  <si>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</si>
  <si>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</si>
  <si>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</si>
  <si>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</si>
  <si>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</si>
  <si>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</si>
  <si>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</si>
  <si>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</si>
  <si>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</si>
  <si>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</si>
  <si>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</si>
  <si>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</si>
  <si>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</si>
  <si>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</si>
  <si>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</si>
  <si>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</si>
  <si>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</si>
  <si>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</si>
  <si>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</si>
  <si>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</si>
  <si>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</si>
  <si>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nemomod_entc_fixed_cost_fp_hydrogen_electrolysis_mm_usd_per_gw</t>
  </si>
  <si>
    <t>nemomod_entc_fixed_cost_fp_hydrogen_gasification_mm_usd_per_gw</t>
  </si>
  <si>
    <t>nemomod_entc_fixed_cost_fp_hydrogen_reformation_mm_usd_per_gw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</si>
  <si>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</si>
  <si>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</si>
  <si>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</si>
  <si>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</si>
  <si>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</si>
  <si>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</si>
  <si>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</si>
  <si>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</si>
  <si>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</si>
  <si>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</si>
  <si>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</si>
  <si>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</si>
  <si>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</si>
  <si>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</si>
  <si>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</si>
  <si>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</si>
  <si>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</si>
  <si>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</si>
  <si>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</si>
  <si>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</si>
  <si>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</si>
  <si>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</si>
  <si>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</si>
  <si>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</si>
  <si>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</si>
  <si>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</si>
  <si>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</si>
  <si>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</si>
  <si>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</si>
  <si>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</si>
  <si>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</si>
  <si>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nemomod_entc_input_activity_ratio_fuel_production_fp_hydrogen_electrolysis_electricity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</si>
  <si>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</si>
  <si>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</si>
  <si>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</si>
  <si>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</si>
  <si>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</si>
  <si>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</si>
  <si>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</si>
  <si>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</si>
  <si>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</si>
  <si>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</si>
  <si>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</si>
  <si>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</si>
  <si>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</si>
  <si>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</si>
  <si>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</si>
  <si>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</si>
  <si>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</si>
  <si>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</si>
  <si>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</si>
  <si>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</si>
  <si>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</si>
  <si>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</si>
  <si>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</si>
  <si>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</si>
  <si>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</si>
  <si>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</si>
  <si>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</si>
  <si>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</si>
  <si>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</si>
  <si>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</si>
  <si>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</si>
  <si>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</si>
  <si>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</si>
  <si>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</si>
  <si>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</si>
  <si>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</si>
  <si>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</si>
  <si>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</si>
  <si>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</si>
  <si>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</si>
  <si>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</si>
  <si>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</si>
  <si>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</si>
  <si>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</si>
  <si>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</si>
  <si>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</si>
  <si>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</si>
  <si>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</si>
  <si>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</si>
  <si>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</si>
  <si>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</si>
  <si>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</si>
  <si>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</si>
  <si>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</si>
  <si>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</si>
  <si>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</si>
  <si>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</si>
  <si>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</si>
  <si>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</si>
  <si>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</si>
  <si>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</si>
  <si>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</si>
  <si>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</si>
  <si>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</si>
  <si>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</si>
  <si>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</si>
  <si>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</si>
  <si>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</si>
  <si>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</si>
  <si>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</si>
  <si>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</si>
  <si>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</si>
  <si>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</si>
  <si>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</si>
  <si>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</si>
  <si>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</si>
  <si>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</si>
  <si>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</si>
  <si>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</si>
  <si>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</si>
  <si>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</si>
  <si>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</si>
  <si>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</si>
  <si>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</si>
  <si>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</si>
  <si>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</si>
  <si>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</si>
  <si>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</si>
  <si>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</si>
  <si>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</si>
  <si>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</si>
  <si>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</si>
  <si>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</si>
  <si>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</si>
  <si>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</si>
  <si>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</si>
  <si>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</si>
  <si>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</si>
  <si>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</si>
  <si>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</si>
  <si>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</si>
  <si>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</si>
  <si>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</si>
  <si>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</si>
  <si>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</si>
  <si>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</si>
  <si>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</si>
  <si>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</si>
  <si>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</si>
  <si>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</si>
  <si>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</si>
  <si>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</si>
  <si>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</si>
  <si>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</si>
  <si>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</si>
  <si>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</si>
  <si>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</si>
  <si>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</si>
  <si>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</si>
  <si>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</si>
  <si>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</si>
  <si>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</si>
  <si>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</si>
  <si>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</si>
  <si>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</si>
  <si>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</si>
  <si>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</si>
  <si>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</si>
  <si>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</si>
  <si>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</si>
  <si>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</si>
  <si>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</si>
  <si>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</si>
  <si>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</si>
  <si>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</si>
  <si>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</si>
  <si>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</si>
  <si>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</si>
  <si>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</si>
  <si>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</si>
  <si>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</si>
  <si>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</si>
  <si>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</si>
  <si>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</si>
  <si>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</si>
  <si>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</si>
  <si>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</si>
  <si>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</si>
  <si>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</si>
  <si>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</si>
  <si>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</si>
  <si>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</si>
  <si>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</si>
  <si>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</si>
  <si>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</si>
  <si>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</si>
  <si>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</si>
  <si>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</si>
  <si>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</si>
  <si>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</si>
  <si>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</si>
  <si>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</si>
  <si>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</si>
  <si>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</si>
  <si>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net_imports_cement_clinker_tonne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</si>
  <si>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</si>
  <si>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</si>
  <si>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</si>
  <si>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</si>
  <si>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</si>
  <si>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</si>
  <si>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</si>
  <si>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</si>
  <si>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occrateinit_gnrl_occupancy</t>
  </si>
  <si>
    <t>population_gnrl_rural</t>
  </si>
  <si>
    <t>population_gnrl_urban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</si>
  <si>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</si>
  <si>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</si>
  <si>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</si>
  <si>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</si>
  <si>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</si>
  <si>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</si>
  <si>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</si>
  <si>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</si>
  <si>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</si>
  <si>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</si>
  <si>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</si>
  <si>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</si>
  <si>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</si>
  <si>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</si>
  <si>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</si>
  <si>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</si>
  <si>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</si>
  <si>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</si>
  <si>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qty_ccsq_mt_co2_captured_sequestered_by_direct_air_capture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</si>
  <si>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</si>
  <si>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</si>
  <si>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</si>
  <si>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</si>
  <si>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</si>
  <si>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</si>
  <si>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</si>
  <si>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</si>
  <si>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</si>
  <si>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</si>
  <si>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</si>
  <si>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</si>
  <si>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</si>
  <si>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</si>
  <si>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</si>
  <si>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</si>
  <si>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</si>
  <si>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</si>
  <si>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</si>
  <si>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</si>
  <si>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</si>
  <si>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</si>
  <si>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</si>
  <si>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</si>
  <si>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</si>
  <si>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</si>
  <si>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</si>
  <si>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</si>
  <si>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</si>
  <si>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</si>
  <si>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</si>
  <si>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</si>
  <si>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</si>
  <si>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</si>
  <si>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</si>
  <si>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</si>
  <si>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</si>
  <si>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</si>
  <si>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</si>
  <si>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</si>
  <si>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</si>
  <si>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</si>
  <si>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</si>
  <si>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</si>
  <si>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timespan_ippu_average_lifetime_of_housing</t>
  </si>
  <si>
    <t>useinit_ippu_product_use_lubricants_kt</t>
  </si>
  <si>
    <t>useinit_ippu_product_use_paraffin_wax_kt</t>
  </si>
  <si>
    <t>va_commercial_mmm_usd</t>
  </si>
  <si>
    <t>va_industrial_mmm_usd</t>
  </si>
  <si>
    <t>va_manufacturing_mmm_usd</t>
  </si>
  <si>
    <t>va_mining_mmm_usd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</si>
  <si>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</si>
  <si>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</si>
  <si>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</si>
  <si>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</si>
  <si>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</si>
  <si>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</si>
  <si>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</si>
  <si>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</si>
  <si>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</si>
  <si>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</si>
  <si>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</si>
  <si>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</si>
  <si>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</si>
  <si>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</si>
  <si>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</si>
  <si>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</si>
  <si>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</si>
  <si>
    <t>LPG</t>
  </si>
  <si>
    <t>Imports</t>
  </si>
  <si>
    <t>Gassoline</t>
  </si>
  <si>
    <t>AV Gas</t>
  </si>
  <si>
    <t>Keroscene</t>
  </si>
  <si>
    <t>Jet Fuel</t>
  </si>
  <si>
    <t>Diesel</t>
  </si>
  <si>
    <t>F Oil</t>
  </si>
  <si>
    <t>Crude</t>
  </si>
  <si>
    <t>Coal</t>
  </si>
  <si>
    <t>tr</t>
  </si>
  <si>
    <t>ai</t>
  </si>
  <si>
    <t>lorry</t>
  </si>
  <si>
    <t>passe tra air</t>
  </si>
  <si>
    <t>GWh</t>
  </si>
  <si>
    <t>MJ/kWh</t>
  </si>
  <si>
    <t>GJ/HH</t>
  </si>
  <si>
    <t>Biomass</t>
  </si>
  <si>
    <t>PJ</t>
  </si>
  <si>
    <t>Kero/LPG</t>
  </si>
  <si>
    <t>HH</t>
  </si>
  <si>
    <t>Commercial</t>
  </si>
  <si>
    <t>HH %</t>
  </si>
  <si>
    <t>Total</t>
  </si>
  <si>
    <t>Heat Energy - Com+HH</t>
  </si>
  <si>
    <t>Heat Ener</t>
  </si>
  <si>
    <t>Com</t>
  </si>
  <si>
    <t>GDP</t>
  </si>
  <si>
    <t>USD B</t>
  </si>
  <si>
    <t>Heat energy</t>
  </si>
  <si>
    <t>tJ/GDP</t>
  </si>
  <si>
    <t>Electical E</t>
  </si>
  <si>
    <t>Ex Rate Rs/USD</t>
  </si>
  <si>
    <t>USD/Ton</t>
  </si>
  <si>
    <t>LKR/kg</t>
  </si>
  <si>
    <t>Coal Import</t>
  </si>
  <si>
    <t>LKR/L</t>
  </si>
  <si>
    <t>Gasoline</t>
  </si>
  <si>
    <t>KLR/L</t>
  </si>
  <si>
    <t>USD/m3</t>
  </si>
  <si>
    <t>Agriculture and Livestock</t>
  </si>
  <si>
    <t>Cement</t>
  </si>
  <si>
    <t>Glass</t>
  </si>
  <si>
    <t>Electronics</t>
  </si>
  <si>
    <t>Carbonite</t>
  </si>
  <si>
    <t>Metal</t>
  </si>
  <si>
    <t>Mining</t>
  </si>
  <si>
    <t>Other Product</t>
  </si>
  <si>
    <t>Paper</t>
  </si>
  <si>
    <t>Plastic</t>
  </si>
  <si>
    <t>Recycled  Glass</t>
  </si>
  <si>
    <t>Recycled Metal</t>
  </si>
  <si>
    <t>Recycled Paper</t>
  </si>
  <si>
    <t>Recycled Plastic</t>
  </si>
  <si>
    <t>Recycled Rubber &amp; Leather</t>
  </si>
  <si>
    <t>Recycled Textiles</t>
  </si>
  <si>
    <t>Recycled Wood</t>
  </si>
  <si>
    <t>Rubber &amp; Leather</t>
  </si>
  <si>
    <t>Textile</t>
  </si>
  <si>
    <t>Wood</t>
  </si>
  <si>
    <t>Commercial Municiple</t>
  </si>
  <si>
    <t>Other Sectors</t>
  </si>
  <si>
    <t>Residential</t>
  </si>
  <si>
    <t>Aveation</t>
  </si>
  <si>
    <t>Bike</t>
  </si>
  <si>
    <t>Public</t>
  </si>
  <si>
    <t>Rail Fraight</t>
  </si>
  <si>
    <t>Rail Passenger</t>
  </si>
  <si>
    <t>Road Heavy Fraight</t>
  </si>
  <si>
    <t>Road Heavy Regional</t>
  </si>
  <si>
    <t>Road Light</t>
  </si>
  <si>
    <t>Water Borne</t>
  </si>
  <si>
    <t>Chemical</t>
  </si>
  <si>
    <t>BM</t>
  </si>
  <si>
    <t>Hy</t>
  </si>
  <si>
    <t>Oil</t>
  </si>
  <si>
    <t>Solar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</si>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</sst>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71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/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/>
    </xf>
    <xf numFmtId="11" fontId="0" fillId="0" borderId="0" xfId="0" applyNumberFormat="1" applyFill="1" applyBorder="1"/>
    <xf numFmtId="165" fontId="0" fillId="0" borderId="0" xfId="0" applyNumberFormat="1" applyFill="1" applyBorder="1"/>
    <xf numFmtId="171" fontId="0" fillId="0" borderId="0" xfId="42" applyNumberFormat="1" applyFont="1" applyFill="1" applyBorder="1"/>
    <xf numFmtId="3" fontId="0" fillId="0" borderId="0" xfId="0" applyNumberFormat="1" applyFill="1" applyBorder="1"/>
    <xf numFmtId="171" fontId="0" fillId="0" borderId="0" xfId="0" applyNumberFormat="1" applyFill="1" applyBorder="1"/>
    <xf numFmtId="0" fontId="16" fillId="0" borderId="0" xfId="0" applyFont="1" applyFill="1" applyBorder="1" applyAlignment="1">
      <alignment vertical="center" wrapText="1"/>
    </xf>
    <xf numFmtId="3" fontId="0" fillId="0" borderId="0" xfId="0" applyNumberFormat="1" applyFill="1" applyBorder="1" applyAlignment="1">
      <alignment vertical="center" wrapText="1"/>
    </xf>
    <xf numFmtId="0" fontId="16" fillId="0" borderId="0" xfId="0" applyFont="1" applyFill="1" applyBorder="1"/>
    <xf numFmtId="0" fontId="0" fillId="0" borderId="0" xfId="0" applyFill="1" applyBorder="1" applyAlignment="1">
      <alignment horizontal="center" vertical="center" wrapText="1"/>
    </xf>
    <xf numFmtId="164" fontId="0" fillId="0" borderId="0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2D2E-989E-4B4C-936C-E0CA7D929764}">
  <dimension ref="A1:AXB53"/>
  <sheetViews>
    <sheetView tabSelected="1" zoomScale="94" zoomScaleNormal="94" workbookViewId="0">
      <selection activeCell="M22" sqref="M22"/>
    </sheetView>
  </sheetViews>
  <sheetFormatPr defaultRowHeight="14.4" x14ac:dyDescent="0.3"/>
  <cols>
    <col min="1" max="1" width="8.88671875" style="1"/>
    <col min="2" max="27" width="8.88671875" style="2" customWidth="1"/>
    <col min="28" max="34" width="8.88671875" style="2"/>
    <col min="35" max="35" width="11.88671875" style="2" bestFit="1" customWidth="1"/>
    <col min="36" max="47" width="8.88671875" style="2"/>
    <col min="48" max="48" width="9.44140625" style="2" customWidth="1"/>
    <col min="49" max="55" width="8.88671875" style="2"/>
    <col min="56" max="56" width="11.88671875" style="2" bestFit="1" customWidth="1"/>
    <col min="57" max="1213" width="8.88671875" style="2"/>
    <col min="1214" max="1214" width="14.33203125" style="2" customWidth="1"/>
    <col min="1215" max="1215" width="11.44140625" style="2" customWidth="1"/>
    <col min="1216" max="1217" width="8.88671875" style="2"/>
    <col min="1218" max="1218" width="12.77734375" style="2" customWidth="1"/>
    <col min="1219" max="16384" width="8.88671875" style="2"/>
  </cols>
  <sheetData>
    <row r="1" spans="1:1302" x14ac:dyDescent="0.3">
      <c r="RZ1" s="3" t="s">
        <v>1342</v>
      </c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 t="s">
        <v>1343</v>
      </c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 t="s">
        <v>1374</v>
      </c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 t="s">
        <v>1345</v>
      </c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 t="s">
        <v>1344</v>
      </c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 t="s">
        <v>1346</v>
      </c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 t="s">
        <v>1347</v>
      </c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 t="s">
        <v>1348</v>
      </c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 t="s">
        <v>1349</v>
      </c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 t="s">
        <v>1350</v>
      </c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 t="s">
        <v>1351</v>
      </c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 t="s">
        <v>1352</v>
      </c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 t="s">
        <v>1353</v>
      </c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 t="s">
        <v>1354</v>
      </c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 t="s">
        <v>1355</v>
      </c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 t="s">
        <v>1356</v>
      </c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 t="s">
        <v>1357</v>
      </c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 t="s">
        <v>1358</v>
      </c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 t="s">
        <v>1359</v>
      </c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 t="s">
        <v>1360</v>
      </c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 t="s">
        <v>1361</v>
      </c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U1" s="3" t="s">
        <v>1362</v>
      </c>
      <c r="ACV1" s="3"/>
      <c r="ACW1" s="3"/>
      <c r="ACX1" s="3"/>
      <c r="ACY1" s="3"/>
      <c r="ACZ1" s="3"/>
      <c r="ADA1" s="3"/>
      <c r="ADB1" s="3"/>
      <c r="ADC1" s="3"/>
      <c r="ADD1" s="3" t="s">
        <v>1363</v>
      </c>
      <c r="ADE1" s="3"/>
      <c r="ADF1" s="3"/>
      <c r="ADG1" s="3"/>
      <c r="ADH1" s="3"/>
      <c r="ADI1" s="3"/>
      <c r="ADJ1" s="3"/>
      <c r="ADK1" s="3"/>
      <c r="ADL1" s="3"/>
      <c r="ADM1" s="3" t="s">
        <v>1364</v>
      </c>
      <c r="ADN1" s="3"/>
      <c r="ADO1" s="3"/>
      <c r="ADP1" s="3"/>
      <c r="ADQ1" s="3"/>
      <c r="ADR1" s="3"/>
      <c r="ADS1" s="3"/>
      <c r="ADT1" s="3"/>
      <c r="ADU1" s="3"/>
      <c r="ADV1" s="3" t="s">
        <v>1365</v>
      </c>
      <c r="ADW1" s="3"/>
      <c r="ADX1" s="3"/>
      <c r="ADY1" s="3" t="s">
        <v>1366</v>
      </c>
      <c r="ADZ1" s="3"/>
      <c r="AEA1" s="3" t="s">
        <v>1367</v>
      </c>
      <c r="AEB1" s="3"/>
      <c r="AEC1" s="3"/>
      <c r="AED1" s="3"/>
      <c r="AEE1" s="3"/>
      <c r="AEF1" s="3"/>
      <c r="AEG1" s="3"/>
      <c r="AEH1" s="3" t="s">
        <v>1368</v>
      </c>
      <c r="AEI1" s="3"/>
      <c r="AEJ1" s="3"/>
      <c r="AEK1" s="3"/>
      <c r="AEL1" s="3" t="s">
        <v>1369</v>
      </c>
      <c r="AEM1" s="3"/>
      <c r="AEN1" s="3"/>
      <c r="AEO1" s="3"/>
      <c r="AEP1" s="3" t="s">
        <v>1370</v>
      </c>
      <c r="AEQ1" s="3"/>
      <c r="AER1" s="3"/>
      <c r="AES1" s="3"/>
      <c r="AET1" s="3"/>
      <c r="AEU1" s="3"/>
      <c r="AEV1" s="3"/>
      <c r="AEW1" s="3" t="s">
        <v>1371</v>
      </c>
      <c r="AEX1" s="3"/>
      <c r="AEY1" s="3"/>
      <c r="AEZ1" s="3"/>
      <c r="AFA1" s="3"/>
      <c r="AFB1" s="3"/>
      <c r="AFC1" s="3"/>
      <c r="AFD1" s="3" t="s">
        <v>1372</v>
      </c>
      <c r="AFE1" s="3"/>
      <c r="AFF1" s="3"/>
      <c r="AFG1" s="3"/>
      <c r="AFH1" s="3"/>
      <c r="AFI1" s="3"/>
      <c r="AFJ1" s="3" t="s">
        <v>1373</v>
      </c>
      <c r="AFK1" s="3"/>
      <c r="AFL1" s="3"/>
      <c r="AFM1" s="3"/>
    </row>
    <row r="2" spans="1:1302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  <c r="CZ2" s="2" t="s">
        <v>103</v>
      </c>
      <c r="DA2" s="2" t="s">
        <v>104</v>
      </c>
      <c r="DB2" s="2" t="s">
        <v>105</v>
      </c>
      <c r="DC2" s="2" t="s">
        <v>106</v>
      </c>
      <c r="DD2" s="2" t="s">
        <v>107</v>
      </c>
      <c r="DE2" s="2" t="s">
        <v>108</v>
      </c>
      <c r="DF2" s="2" t="s">
        <v>109</v>
      </c>
      <c r="DG2" s="2" t="s">
        <v>110</v>
      </c>
      <c r="DH2" s="2" t="s">
        <v>111</v>
      </c>
      <c r="DI2" s="2" t="s">
        <v>112</v>
      </c>
      <c r="DJ2" s="2" t="s">
        <v>113</v>
      </c>
      <c r="DK2" s="2" t="s">
        <v>114</v>
      </c>
      <c r="DL2" s="2" t="s">
        <v>115</v>
      </c>
      <c r="DM2" s="2" t="s">
        <v>116</v>
      </c>
      <c r="DN2" s="2" t="s">
        <v>117</v>
      </c>
      <c r="DO2" s="2" t="s">
        <v>118</v>
      </c>
      <c r="DP2" s="2" t="s">
        <v>119</v>
      </c>
      <c r="DQ2" s="2" t="s">
        <v>120</v>
      </c>
      <c r="DR2" s="2" t="s">
        <v>121</v>
      </c>
      <c r="DS2" s="2" t="s">
        <v>122</v>
      </c>
      <c r="DT2" s="2" t="s">
        <v>123</v>
      </c>
      <c r="DU2" s="2" t="s">
        <v>124</v>
      </c>
      <c r="DV2" s="2" t="s">
        <v>125</v>
      </c>
      <c r="DW2" s="2" t="s">
        <v>126</v>
      </c>
      <c r="DX2" s="2" t="s">
        <v>127</v>
      </c>
      <c r="DY2" s="2" t="s">
        <v>128</v>
      </c>
      <c r="DZ2" s="2" t="s">
        <v>129</v>
      </c>
      <c r="EA2" s="2" t="s">
        <v>130</v>
      </c>
      <c r="EB2" s="2" t="s">
        <v>131</v>
      </c>
      <c r="EC2" s="2" t="s">
        <v>132</v>
      </c>
      <c r="ED2" s="2" t="s">
        <v>133</v>
      </c>
      <c r="EE2" s="2" t="s">
        <v>134</v>
      </c>
      <c r="EF2" s="2" t="s">
        <v>135</v>
      </c>
      <c r="EG2" s="2" t="s">
        <v>136</v>
      </c>
      <c r="EH2" s="2" t="s">
        <v>137</v>
      </c>
      <c r="EI2" s="2" t="s">
        <v>138</v>
      </c>
      <c r="EJ2" s="2" t="s">
        <v>139</v>
      </c>
      <c r="EK2" s="2" t="s">
        <v>140</v>
      </c>
      <c r="EL2" s="2" t="s">
        <v>141</v>
      </c>
      <c r="EM2" s="2" t="s">
        <v>142</v>
      </c>
      <c r="EN2" s="2" t="s">
        <v>143</v>
      </c>
      <c r="EO2" s="2" t="s">
        <v>144</v>
      </c>
      <c r="EP2" s="2" t="s">
        <v>145</v>
      </c>
      <c r="EQ2" s="2" t="s">
        <v>146</v>
      </c>
      <c r="ER2" s="2" t="s">
        <v>147</v>
      </c>
      <c r="ES2" s="2" t="s">
        <v>148</v>
      </c>
      <c r="ET2" s="2" t="s">
        <v>149</v>
      </c>
      <c r="EU2" s="2" t="s">
        <v>150</v>
      </c>
      <c r="EV2" s="2" t="s">
        <v>151</v>
      </c>
      <c r="EW2" s="2" t="s">
        <v>152</v>
      </c>
      <c r="EX2" s="2" t="s">
        <v>153</v>
      </c>
      <c r="EY2" s="2" t="s">
        <v>154</v>
      </c>
      <c r="EZ2" s="2" t="s">
        <v>155</v>
      </c>
      <c r="FA2" s="2" t="s">
        <v>156</v>
      </c>
      <c r="FB2" s="2" t="s">
        <v>157</v>
      </c>
      <c r="FC2" s="2" t="s">
        <v>158</v>
      </c>
      <c r="FD2" s="2" t="s">
        <v>159</v>
      </c>
      <c r="FE2" s="2" t="s">
        <v>160</v>
      </c>
      <c r="FF2" s="2" t="s">
        <v>161</v>
      </c>
      <c r="FG2" s="2" t="s">
        <v>162</v>
      </c>
      <c r="FH2" s="2" t="s">
        <v>163</v>
      </c>
      <c r="FI2" s="2" t="s">
        <v>164</v>
      </c>
      <c r="FJ2" s="2" t="s">
        <v>165</v>
      </c>
      <c r="FK2" s="2" t="s">
        <v>166</v>
      </c>
      <c r="FL2" s="2" t="s">
        <v>167</v>
      </c>
      <c r="FM2" s="2" t="s">
        <v>168</v>
      </c>
      <c r="FN2" s="2" t="s">
        <v>169</v>
      </c>
      <c r="FO2" s="2" t="s">
        <v>170</v>
      </c>
      <c r="FP2" s="2" t="s">
        <v>171</v>
      </c>
      <c r="FQ2" s="2" t="s">
        <v>172</v>
      </c>
      <c r="FR2" s="2" t="s">
        <v>173</v>
      </c>
      <c r="FS2" s="2" t="s">
        <v>174</v>
      </c>
      <c r="FT2" s="2" t="s">
        <v>175</v>
      </c>
      <c r="FU2" s="2" t="s">
        <v>176</v>
      </c>
      <c r="FV2" s="2" t="s">
        <v>177</v>
      </c>
      <c r="FW2" s="2" t="s">
        <v>178</v>
      </c>
      <c r="FX2" s="2" t="s">
        <v>179</v>
      </c>
      <c r="FY2" s="2" t="s">
        <v>180</v>
      </c>
      <c r="FZ2" s="2" t="s">
        <v>181</v>
      </c>
      <c r="GA2" s="2" t="s">
        <v>182</v>
      </c>
      <c r="GB2" s="2" t="s">
        <v>183</v>
      </c>
      <c r="GC2" s="2" t="s">
        <v>184</v>
      </c>
      <c r="GD2" s="2" t="s">
        <v>185</v>
      </c>
      <c r="GE2" s="2" t="s">
        <v>186</v>
      </c>
      <c r="GF2" s="2" t="s">
        <v>187</v>
      </c>
      <c r="GG2" s="2" t="s">
        <v>188</v>
      </c>
      <c r="GH2" s="2" t="s">
        <v>189</v>
      </c>
      <c r="GI2" s="2" t="s">
        <v>190</v>
      </c>
      <c r="GJ2" s="2" t="s">
        <v>191</v>
      </c>
      <c r="GK2" s="2" t="s">
        <v>192</v>
      </c>
      <c r="GL2" s="2" t="s">
        <v>193</v>
      </c>
      <c r="GM2" s="2" t="s">
        <v>194</v>
      </c>
      <c r="GN2" s="2" t="s">
        <v>195</v>
      </c>
      <c r="GO2" s="2" t="s">
        <v>196</v>
      </c>
      <c r="GP2" s="2" t="s">
        <v>197</v>
      </c>
      <c r="GQ2" s="2" t="s">
        <v>198</v>
      </c>
      <c r="GR2" s="2" t="s">
        <v>199</v>
      </c>
      <c r="GS2" s="2" t="s">
        <v>200</v>
      </c>
      <c r="GT2" s="2" t="s">
        <v>201</v>
      </c>
      <c r="GU2" s="2" t="s">
        <v>202</v>
      </c>
      <c r="GV2" s="2" t="s">
        <v>203</v>
      </c>
      <c r="GW2" s="2" t="s">
        <v>204</v>
      </c>
      <c r="GX2" s="2" t="s">
        <v>205</v>
      </c>
      <c r="GY2" s="2" t="s">
        <v>206</v>
      </c>
      <c r="GZ2" s="2" t="s">
        <v>207</v>
      </c>
      <c r="HA2" s="2" t="s">
        <v>208</v>
      </c>
      <c r="HB2" s="2" t="s">
        <v>209</v>
      </c>
      <c r="HC2" s="2" t="s">
        <v>210</v>
      </c>
      <c r="HD2" s="2" t="s">
        <v>211</v>
      </c>
      <c r="HE2" s="2" t="s">
        <v>212</v>
      </c>
      <c r="HF2" s="2" t="s">
        <v>213</v>
      </c>
      <c r="HG2" s="2" t="s">
        <v>214</v>
      </c>
      <c r="HH2" s="2" t="s">
        <v>215</v>
      </c>
      <c r="HI2" s="2" t="s">
        <v>216</v>
      </c>
      <c r="HJ2" s="2" t="s">
        <v>217</v>
      </c>
      <c r="HK2" s="2" t="s">
        <v>218</v>
      </c>
      <c r="HL2" s="2" t="s">
        <v>219</v>
      </c>
      <c r="HM2" s="2" t="s">
        <v>220</v>
      </c>
      <c r="HN2" s="2" t="s">
        <v>221</v>
      </c>
      <c r="HO2" s="2" t="s">
        <v>222</v>
      </c>
      <c r="HP2" s="2" t="s">
        <v>223</v>
      </c>
      <c r="HQ2" s="2" t="s">
        <v>224</v>
      </c>
      <c r="HR2" s="2" t="s">
        <v>225</v>
      </c>
      <c r="HS2" s="2" t="s">
        <v>226</v>
      </c>
      <c r="HT2" s="2" t="s">
        <v>227</v>
      </c>
      <c r="HU2" s="2" t="s">
        <v>228</v>
      </c>
      <c r="HV2" s="2" t="s">
        <v>229</v>
      </c>
      <c r="HW2" s="2" t="s">
        <v>230</v>
      </c>
      <c r="HX2" s="2" t="s">
        <v>231</v>
      </c>
      <c r="HY2" s="2" t="s">
        <v>232</v>
      </c>
      <c r="HZ2" s="2" t="s">
        <v>233</v>
      </c>
      <c r="IA2" s="2" t="s">
        <v>234</v>
      </c>
      <c r="IB2" s="2" t="s">
        <v>235</v>
      </c>
      <c r="IC2" s="2" t="s">
        <v>236</v>
      </c>
      <c r="ID2" s="2" t="s">
        <v>237</v>
      </c>
      <c r="IE2" s="2" t="s">
        <v>238</v>
      </c>
      <c r="IF2" s="2" t="s">
        <v>239</v>
      </c>
      <c r="IG2" s="2" t="s">
        <v>240</v>
      </c>
      <c r="IH2" s="2" t="s">
        <v>241</v>
      </c>
      <c r="II2" s="2" t="s">
        <v>242</v>
      </c>
      <c r="IJ2" s="2" t="s">
        <v>243</v>
      </c>
      <c r="IK2" s="2" t="s">
        <v>244</v>
      </c>
      <c r="IL2" s="2" t="s">
        <v>245</v>
      </c>
      <c r="IM2" s="2" t="s">
        <v>246</v>
      </c>
      <c r="IN2" s="2" t="s">
        <v>247</v>
      </c>
      <c r="IO2" s="2" t="s">
        <v>248</v>
      </c>
      <c r="IP2" s="2" t="s">
        <v>249</v>
      </c>
      <c r="IQ2" s="2" t="s">
        <v>250</v>
      </c>
      <c r="IR2" s="2" t="s">
        <v>251</v>
      </c>
      <c r="IS2" s="2" t="s">
        <v>252</v>
      </c>
      <c r="IT2" s="2" t="s">
        <v>253</v>
      </c>
      <c r="IU2" s="2" t="s">
        <v>254</v>
      </c>
      <c r="IV2" s="2" t="s">
        <v>255</v>
      </c>
      <c r="IW2" s="2" t="s">
        <v>256</v>
      </c>
      <c r="IX2" s="2" t="s">
        <v>257</v>
      </c>
      <c r="IY2" s="2" t="s">
        <v>258</v>
      </c>
      <c r="IZ2" s="2" t="s">
        <v>259</v>
      </c>
      <c r="JA2" s="2" t="s">
        <v>260</v>
      </c>
      <c r="JB2" s="2" t="s">
        <v>261</v>
      </c>
      <c r="JC2" s="2" t="s">
        <v>262</v>
      </c>
      <c r="JD2" s="2" t="s">
        <v>263</v>
      </c>
      <c r="JE2" s="2" t="s">
        <v>264</v>
      </c>
      <c r="JF2" s="2" t="s">
        <v>265</v>
      </c>
      <c r="JG2" s="2" t="s">
        <v>266</v>
      </c>
      <c r="JH2" s="2" t="s">
        <v>267</v>
      </c>
      <c r="JI2" s="2" t="s">
        <v>268</v>
      </c>
      <c r="JJ2" s="2" t="s">
        <v>269</v>
      </c>
      <c r="JK2" s="2" t="s">
        <v>270</v>
      </c>
      <c r="JL2" s="2" t="s">
        <v>271</v>
      </c>
      <c r="JM2" s="2" t="s">
        <v>272</v>
      </c>
      <c r="JN2" s="2" t="s">
        <v>273</v>
      </c>
      <c r="JO2" s="2" t="s">
        <v>274</v>
      </c>
      <c r="JP2" s="2" t="s">
        <v>275</v>
      </c>
      <c r="JQ2" s="2" t="s">
        <v>276</v>
      </c>
      <c r="JR2" s="2" t="s">
        <v>277</v>
      </c>
      <c r="JS2" s="2" t="s">
        <v>278</v>
      </c>
      <c r="JT2" s="2" t="s">
        <v>279</v>
      </c>
      <c r="JU2" s="2" t="s">
        <v>280</v>
      </c>
      <c r="JV2" s="2" t="s">
        <v>281</v>
      </c>
      <c r="JW2" s="2" t="s">
        <v>282</v>
      </c>
      <c r="JX2" s="2" t="s">
        <v>283</v>
      </c>
      <c r="JY2" s="2" t="s">
        <v>284</v>
      </c>
      <c r="JZ2" s="2" t="s">
        <v>285</v>
      </c>
      <c r="KA2" s="2" t="s">
        <v>286</v>
      </c>
      <c r="KB2" s="2" t="s">
        <v>287</v>
      </c>
      <c r="KC2" s="2" t="s">
        <v>288</v>
      </c>
      <c r="KD2" s="2" t="s">
        <v>289</v>
      </c>
      <c r="KE2" s="2" t="s">
        <v>290</v>
      </c>
      <c r="KF2" s="2" t="s">
        <v>291</v>
      </c>
      <c r="KG2" s="2" t="s">
        <v>292</v>
      </c>
      <c r="KH2" s="2" t="s">
        <v>293</v>
      </c>
      <c r="KI2" s="2" t="s">
        <v>294</v>
      </c>
      <c r="KJ2" s="2" t="s">
        <v>295</v>
      </c>
      <c r="KK2" s="2" t="s">
        <v>296</v>
      </c>
      <c r="KL2" s="2" t="s">
        <v>297</v>
      </c>
      <c r="KM2" s="2" t="s">
        <v>298</v>
      </c>
      <c r="KN2" s="2" t="s">
        <v>299</v>
      </c>
      <c r="KO2" s="2" t="s">
        <v>300</v>
      </c>
      <c r="KP2" s="2" t="s">
        <v>301</v>
      </c>
      <c r="KQ2" s="2" t="s">
        <v>302</v>
      </c>
      <c r="KR2" s="2" t="s">
        <v>303</v>
      </c>
      <c r="KS2" s="2" t="s">
        <v>304</v>
      </c>
      <c r="KT2" s="2" t="s">
        <v>305</v>
      </c>
      <c r="KU2" s="2" t="s">
        <v>306</v>
      </c>
      <c r="KV2" s="2" t="s">
        <v>307</v>
      </c>
      <c r="KW2" s="2" t="s">
        <v>308</v>
      </c>
      <c r="KX2" s="2" t="s">
        <v>309</v>
      </c>
      <c r="KY2" s="2" t="s">
        <v>310</v>
      </c>
      <c r="KZ2" s="2" t="s">
        <v>311</v>
      </c>
      <c r="LA2" s="2" t="s">
        <v>312</v>
      </c>
      <c r="LB2" s="2" t="s">
        <v>313</v>
      </c>
      <c r="LC2" s="2" t="s">
        <v>314</v>
      </c>
      <c r="LD2" s="2" t="s">
        <v>315</v>
      </c>
      <c r="LE2" s="2" t="s">
        <v>316</v>
      </c>
      <c r="LF2" s="2" t="s">
        <v>317</v>
      </c>
      <c r="LG2" s="2" t="s">
        <v>318</v>
      </c>
      <c r="LH2" s="2" t="s">
        <v>319</v>
      </c>
      <c r="LI2" s="2" t="s">
        <v>320</v>
      </c>
      <c r="LJ2" s="2" t="s">
        <v>321</v>
      </c>
      <c r="LK2" s="2" t="s">
        <v>322</v>
      </c>
      <c r="LL2" s="2" t="s">
        <v>323</v>
      </c>
      <c r="LM2" s="2" t="s">
        <v>324</v>
      </c>
      <c r="LN2" s="2" t="s">
        <v>325</v>
      </c>
      <c r="LO2" s="2" t="s">
        <v>326</v>
      </c>
      <c r="LP2" s="2" t="s">
        <v>327</v>
      </c>
      <c r="LQ2" s="2" t="s">
        <v>328</v>
      </c>
      <c r="LR2" s="2" t="s">
        <v>329</v>
      </c>
      <c r="LS2" s="2" t="s">
        <v>330</v>
      </c>
      <c r="LT2" s="2" t="s">
        <v>331</v>
      </c>
      <c r="LU2" s="2" t="s">
        <v>332</v>
      </c>
      <c r="LV2" s="2" t="s">
        <v>333</v>
      </c>
      <c r="LW2" s="2" t="s">
        <v>334</v>
      </c>
      <c r="LX2" s="2" t="s">
        <v>335</v>
      </c>
      <c r="LY2" s="2" t="s">
        <v>336</v>
      </c>
      <c r="LZ2" s="2" t="s">
        <v>337</v>
      </c>
      <c r="MA2" s="2" t="s">
        <v>338</v>
      </c>
      <c r="MB2" s="2" t="s">
        <v>339</v>
      </c>
      <c r="MC2" s="2" t="s">
        <v>340</v>
      </c>
      <c r="MD2" s="2" t="s">
        <v>341</v>
      </c>
      <c r="ME2" s="2" t="s">
        <v>342</v>
      </c>
      <c r="MF2" s="2" t="s">
        <v>343</v>
      </c>
      <c r="MG2" s="2" t="s">
        <v>344</v>
      </c>
      <c r="MH2" s="2" t="s">
        <v>345</v>
      </c>
      <c r="MI2" s="2" t="s">
        <v>346</v>
      </c>
      <c r="MJ2" s="2" t="s">
        <v>347</v>
      </c>
      <c r="MK2" s="2" t="s">
        <v>348</v>
      </c>
      <c r="ML2" s="2" t="s">
        <v>349</v>
      </c>
      <c r="MM2" s="2" t="s">
        <v>350</v>
      </c>
      <c r="MN2" s="2" t="s">
        <v>351</v>
      </c>
      <c r="MO2" s="2" t="s">
        <v>352</v>
      </c>
      <c r="MP2" s="2" t="s">
        <v>353</v>
      </c>
      <c r="MQ2" s="2" t="s">
        <v>354</v>
      </c>
      <c r="MR2" s="2" t="s">
        <v>355</v>
      </c>
      <c r="MS2" s="2" t="s">
        <v>356</v>
      </c>
      <c r="MT2" s="2" t="s">
        <v>357</v>
      </c>
      <c r="MU2" s="2" t="s">
        <v>358</v>
      </c>
      <c r="MV2" s="2" t="s">
        <v>359</v>
      </c>
      <c r="MW2" s="2" t="s">
        <v>360</v>
      </c>
      <c r="MX2" s="2" t="s">
        <v>361</v>
      </c>
      <c r="MY2" s="2" t="s">
        <v>362</v>
      </c>
      <c r="MZ2" s="2" t="s">
        <v>363</v>
      </c>
      <c r="NA2" s="2" t="s">
        <v>364</v>
      </c>
      <c r="NB2" s="2" t="s">
        <v>365</v>
      </c>
      <c r="NC2" s="2" t="s">
        <v>366</v>
      </c>
      <c r="ND2" s="2" t="s">
        <v>367</v>
      </c>
      <c r="NE2" s="2" t="s">
        <v>368</v>
      </c>
      <c r="NF2" s="2" t="s">
        <v>369</v>
      </c>
      <c r="NG2" s="2" t="s">
        <v>370</v>
      </c>
      <c r="NH2" s="2" t="s">
        <v>371</v>
      </c>
      <c r="NI2" s="2" t="s">
        <v>372</v>
      </c>
      <c r="NJ2" s="2" t="s">
        <v>373</v>
      </c>
      <c r="NK2" s="2" t="s">
        <v>374</v>
      </c>
      <c r="NL2" s="2" t="s">
        <v>375</v>
      </c>
      <c r="NM2" s="2" t="s">
        <v>376</v>
      </c>
      <c r="NN2" s="2" t="s">
        <v>377</v>
      </c>
      <c r="NO2" s="2" t="s">
        <v>378</v>
      </c>
      <c r="NP2" s="2" t="s">
        <v>379</v>
      </c>
      <c r="NQ2" s="2" t="s">
        <v>380</v>
      </c>
      <c r="NR2" s="2" t="s">
        <v>381</v>
      </c>
      <c r="NS2" s="2" t="s">
        <v>382</v>
      </c>
      <c r="NT2" s="2" t="s">
        <v>383</v>
      </c>
      <c r="NU2" s="2" t="s">
        <v>384</v>
      </c>
      <c r="NV2" s="2" t="s">
        <v>385</v>
      </c>
      <c r="NW2" s="2" t="s">
        <v>386</v>
      </c>
      <c r="NX2" s="2" t="s">
        <v>387</v>
      </c>
      <c r="NY2" s="2" t="s">
        <v>388</v>
      </c>
      <c r="NZ2" s="2" t="s">
        <v>389</v>
      </c>
      <c r="OA2" s="2" t="s">
        <v>390</v>
      </c>
      <c r="OB2" s="2" t="s">
        <v>391</v>
      </c>
      <c r="OC2" s="2" t="s">
        <v>392</v>
      </c>
      <c r="OD2" s="2" t="s">
        <v>393</v>
      </c>
      <c r="OE2" s="2" t="s">
        <v>394</v>
      </c>
      <c r="OF2" s="2" t="s">
        <v>395</v>
      </c>
      <c r="OG2" s="2" t="s">
        <v>396</v>
      </c>
      <c r="OH2" s="2" t="s">
        <v>397</v>
      </c>
      <c r="OI2" s="2" t="s">
        <v>398</v>
      </c>
      <c r="OJ2" s="2" t="s">
        <v>399</v>
      </c>
      <c r="OK2" s="2" t="s">
        <v>400</v>
      </c>
      <c r="OL2" s="2" t="s">
        <v>401</v>
      </c>
      <c r="OM2" s="2" t="s">
        <v>402</v>
      </c>
      <c r="ON2" s="2" t="s">
        <v>403</v>
      </c>
      <c r="OO2" s="2" t="s">
        <v>404</v>
      </c>
      <c r="OP2" s="2" t="s">
        <v>405</v>
      </c>
      <c r="OQ2" s="2" t="s">
        <v>406</v>
      </c>
      <c r="OR2" s="2" t="s">
        <v>407</v>
      </c>
      <c r="OS2" s="2" t="s">
        <v>408</v>
      </c>
      <c r="OT2" s="2" t="s">
        <v>409</v>
      </c>
      <c r="OU2" s="2" t="s">
        <v>410</v>
      </c>
      <c r="OV2" s="2" t="s">
        <v>411</v>
      </c>
      <c r="OW2" s="2" t="s">
        <v>412</v>
      </c>
      <c r="OX2" s="2" t="s">
        <v>413</v>
      </c>
      <c r="OY2" s="2" t="s">
        <v>414</v>
      </c>
      <c r="OZ2" s="2" t="s">
        <v>415</v>
      </c>
      <c r="PA2" s="2" t="s">
        <v>416</v>
      </c>
      <c r="PB2" s="2" t="s">
        <v>417</v>
      </c>
      <c r="PC2" s="2" t="s">
        <v>418</v>
      </c>
      <c r="PD2" s="2" t="s">
        <v>419</v>
      </c>
      <c r="PE2" s="2" t="s">
        <v>420</v>
      </c>
      <c r="PF2" s="2" t="s">
        <v>421</v>
      </c>
      <c r="PG2" s="2" t="s">
        <v>422</v>
      </c>
      <c r="PH2" s="2" t="s">
        <v>423</v>
      </c>
      <c r="PI2" s="2" t="s">
        <v>424</v>
      </c>
      <c r="PJ2" s="2" t="s">
        <v>425</v>
      </c>
      <c r="PK2" s="2" t="s">
        <v>426</v>
      </c>
      <c r="PL2" s="2" t="s">
        <v>427</v>
      </c>
      <c r="PM2" s="2" t="s">
        <v>428</v>
      </c>
      <c r="PN2" s="2" t="s">
        <v>429</v>
      </c>
      <c r="PO2" s="2" t="s">
        <v>430</v>
      </c>
      <c r="PP2" s="2" t="s">
        <v>431</v>
      </c>
      <c r="PQ2" s="2" t="s">
        <v>432</v>
      </c>
      <c r="PR2" s="2" t="s">
        <v>433</v>
      </c>
      <c r="PS2" s="2" t="s">
        <v>434</v>
      </c>
      <c r="PT2" s="2" t="s">
        <v>435</v>
      </c>
      <c r="PU2" s="2" t="s">
        <v>436</v>
      </c>
      <c r="PV2" s="2" t="s">
        <v>437</v>
      </c>
      <c r="PW2" s="2" t="s">
        <v>438</v>
      </c>
      <c r="PX2" s="2" t="s">
        <v>439</v>
      </c>
      <c r="PY2" s="2" t="s">
        <v>440</v>
      </c>
      <c r="PZ2" s="2" t="s">
        <v>441</v>
      </c>
      <c r="QA2" s="2" t="s">
        <v>442</v>
      </c>
      <c r="QB2" s="2" t="s">
        <v>443</v>
      </c>
      <c r="QC2" s="2" t="s">
        <v>444</v>
      </c>
      <c r="QD2" s="2" t="s">
        <v>445</v>
      </c>
      <c r="QE2" s="2" t="s">
        <v>446</v>
      </c>
      <c r="QF2" s="2" t="s">
        <v>447</v>
      </c>
      <c r="QG2" s="2" t="s">
        <v>448</v>
      </c>
      <c r="QH2" s="2" t="s">
        <v>449</v>
      </c>
      <c r="QI2" s="2" t="s">
        <v>450</v>
      </c>
      <c r="QJ2" s="2" t="s">
        <v>451</v>
      </c>
      <c r="QK2" s="2" t="s">
        <v>452</v>
      </c>
      <c r="QL2" s="2" t="s">
        <v>453</v>
      </c>
      <c r="QM2" s="2" t="s">
        <v>454</v>
      </c>
      <c r="QN2" s="2" t="s">
        <v>455</v>
      </c>
      <c r="QO2" s="2" t="s">
        <v>456</v>
      </c>
      <c r="QP2" s="2" t="s">
        <v>457</v>
      </c>
      <c r="QQ2" s="2" t="s">
        <v>458</v>
      </c>
      <c r="QR2" s="2" t="s">
        <v>459</v>
      </c>
      <c r="QS2" s="2" t="s">
        <v>460</v>
      </c>
      <c r="QT2" s="2" t="s">
        <v>461</v>
      </c>
      <c r="QU2" s="2" t="s">
        <v>462</v>
      </c>
      <c r="QV2" s="2" t="s">
        <v>463</v>
      </c>
      <c r="QW2" s="2" t="s">
        <v>464</v>
      </c>
      <c r="QX2" s="2" t="s">
        <v>465</v>
      </c>
      <c r="QY2" s="2" t="s">
        <v>466</v>
      </c>
      <c r="QZ2" s="2" t="s">
        <v>467</v>
      </c>
      <c r="RA2" s="2" t="s">
        <v>468</v>
      </c>
      <c r="RB2" s="2" t="s">
        <v>469</v>
      </c>
      <c r="RC2" s="2" t="s">
        <v>470</v>
      </c>
      <c r="RD2" s="2" t="s">
        <v>471</v>
      </c>
      <c r="RE2" s="2" t="s">
        <v>472</v>
      </c>
      <c r="RF2" s="2" t="s">
        <v>473</v>
      </c>
      <c r="RG2" s="2" t="s">
        <v>474</v>
      </c>
      <c r="RH2" s="2" t="s">
        <v>475</v>
      </c>
      <c r="RI2" s="2" t="s">
        <v>476</v>
      </c>
      <c r="RJ2" s="2" t="s">
        <v>477</v>
      </c>
      <c r="RK2" s="2" t="s">
        <v>478</v>
      </c>
      <c r="RL2" s="2" t="s">
        <v>479</v>
      </c>
      <c r="RM2" s="2" t="s">
        <v>480</v>
      </c>
      <c r="RN2" s="2" t="s">
        <v>481</v>
      </c>
      <c r="RO2" s="2" t="s">
        <v>482</v>
      </c>
      <c r="RP2" s="2" t="s">
        <v>483</v>
      </c>
      <c r="RQ2" s="2" t="s">
        <v>484</v>
      </c>
      <c r="RR2" s="2" t="s">
        <v>485</v>
      </c>
      <c r="RS2" s="2" t="s">
        <v>486</v>
      </c>
      <c r="RT2" s="2" t="s">
        <v>487</v>
      </c>
      <c r="RU2" s="2" t="s">
        <v>488</v>
      </c>
      <c r="RV2" s="2" t="s">
        <v>489</v>
      </c>
      <c r="RW2" s="2" t="s">
        <v>490</v>
      </c>
      <c r="RX2" s="2" t="s">
        <v>491</v>
      </c>
      <c r="RY2" s="2" t="s">
        <v>492</v>
      </c>
      <c r="RZ2" s="2" t="s">
        <v>493</v>
      </c>
      <c r="SA2" s="2" t="s">
        <v>494</v>
      </c>
      <c r="SB2" s="2" t="s">
        <v>495</v>
      </c>
      <c r="SC2" s="2" t="s">
        <v>496</v>
      </c>
      <c r="SD2" s="2" t="s">
        <v>497</v>
      </c>
      <c r="SE2" s="2" t="s">
        <v>498</v>
      </c>
      <c r="SF2" s="2" t="s">
        <v>499</v>
      </c>
      <c r="SG2" s="2" t="s">
        <v>500</v>
      </c>
      <c r="SH2" s="2" t="s">
        <v>501</v>
      </c>
      <c r="SI2" s="2" t="s">
        <v>502</v>
      </c>
      <c r="SJ2" s="2" t="s">
        <v>503</v>
      </c>
      <c r="SK2" s="2" t="s">
        <v>504</v>
      </c>
      <c r="SL2" s="2" t="s">
        <v>505</v>
      </c>
      <c r="SM2" s="2" t="s">
        <v>506</v>
      </c>
      <c r="SN2" s="2" t="s">
        <v>507</v>
      </c>
      <c r="SO2" s="2" t="s">
        <v>508</v>
      </c>
      <c r="SP2" s="2" t="s">
        <v>509</v>
      </c>
      <c r="SQ2" s="2" t="s">
        <v>510</v>
      </c>
      <c r="SR2" s="2" t="s">
        <v>511</v>
      </c>
      <c r="SS2" s="2" t="s">
        <v>512</v>
      </c>
      <c r="ST2" s="2" t="s">
        <v>513</v>
      </c>
      <c r="SU2" s="2" t="s">
        <v>514</v>
      </c>
      <c r="SV2" s="2" t="s">
        <v>515</v>
      </c>
      <c r="SW2" s="2" t="s">
        <v>516</v>
      </c>
      <c r="SX2" s="2" t="s">
        <v>517</v>
      </c>
      <c r="SY2" s="2" t="s">
        <v>518</v>
      </c>
      <c r="SZ2" s="2" t="s">
        <v>519</v>
      </c>
      <c r="TA2" s="2" t="s">
        <v>520</v>
      </c>
      <c r="TB2" s="2" t="s">
        <v>521</v>
      </c>
      <c r="TC2" s="2" t="s">
        <v>522</v>
      </c>
      <c r="TD2" s="2" t="s">
        <v>523</v>
      </c>
      <c r="TE2" s="2" t="s">
        <v>524</v>
      </c>
      <c r="TF2" s="2" t="s">
        <v>525</v>
      </c>
      <c r="TG2" s="2" t="s">
        <v>526</v>
      </c>
      <c r="TH2" s="2" t="s">
        <v>527</v>
      </c>
      <c r="TI2" s="2" t="s">
        <v>528</v>
      </c>
      <c r="TJ2" s="2" t="s">
        <v>529</v>
      </c>
      <c r="TK2" s="2" t="s">
        <v>530</v>
      </c>
      <c r="TL2" s="2" t="s">
        <v>531</v>
      </c>
      <c r="TM2" s="2" t="s">
        <v>532</v>
      </c>
      <c r="TN2" s="2" t="s">
        <v>533</v>
      </c>
      <c r="TO2" s="2" t="s">
        <v>534</v>
      </c>
      <c r="TP2" s="2" t="s">
        <v>535</v>
      </c>
      <c r="TQ2" s="2" t="s">
        <v>536</v>
      </c>
      <c r="TR2" s="2" t="s">
        <v>537</v>
      </c>
      <c r="TS2" s="2" t="s">
        <v>538</v>
      </c>
      <c r="TT2" s="2" t="s">
        <v>539</v>
      </c>
      <c r="TU2" s="2" t="s">
        <v>540</v>
      </c>
      <c r="TV2" s="2" t="s">
        <v>541</v>
      </c>
      <c r="TW2" s="2" t="s">
        <v>542</v>
      </c>
      <c r="TX2" s="2" t="s">
        <v>543</v>
      </c>
      <c r="TY2" s="2" t="s">
        <v>544</v>
      </c>
      <c r="TZ2" s="2" t="s">
        <v>545</v>
      </c>
      <c r="UA2" s="2" t="s">
        <v>546</v>
      </c>
      <c r="UB2" s="2" t="s">
        <v>547</v>
      </c>
      <c r="UC2" s="2" t="s">
        <v>548</v>
      </c>
      <c r="UD2" s="2" t="s">
        <v>549</v>
      </c>
      <c r="UE2" s="2" t="s">
        <v>550</v>
      </c>
      <c r="UF2" s="2" t="s">
        <v>551</v>
      </c>
      <c r="UG2" s="2" t="s">
        <v>552</v>
      </c>
      <c r="UH2" s="2" t="s">
        <v>553</v>
      </c>
      <c r="UI2" s="2" t="s">
        <v>554</v>
      </c>
      <c r="UJ2" s="2" t="s">
        <v>555</v>
      </c>
      <c r="UK2" s="2" t="s">
        <v>556</v>
      </c>
      <c r="UL2" s="2" t="s">
        <v>557</v>
      </c>
      <c r="UM2" s="2" t="s">
        <v>558</v>
      </c>
      <c r="UN2" s="2" t="s">
        <v>559</v>
      </c>
      <c r="UO2" s="2" t="s">
        <v>560</v>
      </c>
      <c r="UP2" s="2" t="s">
        <v>561</v>
      </c>
      <c r="UQ2" s="2" t="s">
        <v>562</v>
      </c>
      <c r="UR2" s="2" t="s">
        <v>563</v>
      </c>
      <c r="US2" s="2" t="s">
        <v>564</v>
      </c>
      <c r="UT2" s="2" t="s">
        <v>565</v>
      </c>
      <c r="UU2" s="2" t="s">
        <v>566</v>
      </c>
      <c r="UV2" s="2" t="s">
        <v>567</v>
      </c>
      <c r="UW2" s="2" t="s">
        <v>568</v>
      </c>
      <c r="UX2" s="2" t="s">
        <v>569</v>
      </c>
      <c r="UY2" s="2" t="s">
        <v>570</v>
      </c>
      <c r="UZ2" s="2" t="s">
        <v>571</v>
      </c>
      <c r="VA2" s="2" t="s">
        <v>572</v>
      </c>
      <c r="VB2" s="2" t="s">
        <v>573</v>
      </c>
      <c r="VC2" s="2" t="s">
        <v>574</v>
      </c>
      <c r="VD2" s="2" t="s">
        <v>575</v>
      </c>
      <c r="VE2" s="2" t="s">
        <v>576</v>
      </c>
      <c r="VF2" s="2" t="s">
        <v>577</v>
      </c>
      <c r="VG2" s="2" t="s">
        <v>578</v>
      </c>
      <c r="VH2" s="2" t="s">
        <v>579</v>
      </c>
      <c r="VI2" s="2" t="s">
        <v>580</v>
      </c>
      <c r="VJ2" s="2" t="s">
        <v>581</v>
      </c>
      <c r="VK2" s="2" t="s">
        <v>582</v>
      </c>
      <c r="VL2" s="2" t="s">
        <v>583</v>
      </c>
      <c r="VM2" s="2" t="s">
        <v>584</v>
      </c>
      <c r="VN2" s="2" t="s">
        <v>585</v>
      </c>
      <c r="VO2" s="2" t="s">
        <v>586</v>
      </c>
      <c r="VP2" s="2" t="s">
        <v>587</v>
      </c>
      <c r="VQ2" s="2" t="s">
        <v>588</v>
      </c>
      <c r="VR2" s="2" t="s">
        <v>589</v>
      </c>
      <c r="VS2" s="2" t="s">
        <v>590</v>
      </c>
      <c r="VT2" s="2" t="s">
        <v>591</v>
      </c>
      <c r="VU2" s="2" t="s">
        <v>592</v>
      </c>
      <c r="VV2" s="2" t="s">
        <v>593</v>
      </c>
      <c r="VW2" s="2" t="s">
        <v>594</v>
      </c>
      <c r="VX2" s="2" t="s">
        <v>595</v>
      </c>
      <c r="VY2" s="2" t="s">
        <v>596</v>
      </c>
      <c r="VZ2" s="2" t="s">
        <v>597</v>
      </c>
      <c r="WA2" s="2" t="s">
        <v>598</v>
      </c>
      <c r="WB2" s="2" t="s">
        <v>599</v>
      </c>
      <c r="WC2" s="2" t="s">
        <v>600</v>
      </c>
      <c r="WD2" s="2" t="s">
        <v>601</v>
      </c>
      <c r="WE2" s="2" t="s">
        <v>602</v>
      </c>
      <c r="WF2" s="2" t="s">
        <v>603</v>
      </c>
      <c r="WG2" s="2" t="s">
        <v>604</v>
      </c>
      <c r="WH2" s="2" t="s">
        <v>605</v>
      </c>
      <c r="WI2" s="2" t="s">
        <v>606</v>
      </c>
      <c r="WJ2" s="2" t="s">
        <v>607</v>
      </c>
      <c r="WK2" s="2" t="s">
        <v>608</v>
      </c>
      <c r="WL2" s="2" t="s">
        <v>609</v>
      </c>
      <c r="WM2" s="2" t="s">
        <v>610</v>
      </c>
      <c r="WN2" s="2" t="s">
        <v>611</v>
      </c>
      <c r="WO2" s="2" t="s">
        <v>612</v>
      </c>
      <c r="WP2" s="2" t="s">
        <v>613</v>
      </c>
      <c r="WQ2" s="2" t="s">
        <v>614</v>
      </c>
      <c r="WR2" s="2" t="s">
        <v>615</v>
      </c>
      <c r="WS2" s="2" t="s">
        <v>616</v>
      </c>
      <c r="WT2" s="2" t="s">
        <v>617</v>
      </c>
      <c r="WU2" s="2" t="s">
        <v>618</v>
      </c>
      <c r="WV2" s="2" t="s">
        <v>619</v>
      </c>
      <c r="WW2" s="2" t="s">
        <v>620</v>
      </c>
      <c r="WX2" s="2" t="s">
        <v>621</v>
      </c>
      <c r="WY2" s="2" t="s">
        <v>622</v>
      </c>
      <c r="WZ2" s="2" t="s">
        <v>623</v>
      </c>
      <c r="XA2" s="2" t="s">
        <v>624</v>
      </c>
      <c r="XB2" s="2" t="s">
        <v>625</v>
      </c>
      <c r="XC2" s="2" t="s">
        <v>626</v>
      </c>
      <c r="XD2" s="2" t="s">
        <v>627</v>
      </c>
      <c r="XE2" s="2" t="s">
        <v>628</v>
      </c>
      <c r="XF2" s="2" t="s">
        <v>629</v>
      </c>
      <c r="XG2" s="2" t="s">
        <v>630</v>
      </c>
      <c r="XH2" s="2" t="s">
        <v>631</v>
      </c>
      <c r="XI2" s="2" t="s">
        <v>632</v>
      </c>
      <c r="XJ2" s="2" t="s">
        <v>633</v>
      </c>
      <c r="XK2" s="2" t="s">
        <v>634</v>
      </c>
      <c r="XL2" s="2" t="s">
        <v>635</v>
      </c>
      <c r="XM2" s="2" t="s">
        <v>636</v>
      </c>
      <c r="XN2" s="2" t="s">
        <v>637</v>
      </c>
      <c r="XO2" s="2" t="s">
        <v>638</v>
      </c>
      <c r="XP2" s="2" t="s">
        <v>639</v>
      </c>
      <c r="XQ2" s="2" t="s">
        <v>640</v>
      </c>
      <c r="XR2" s="2" t="s">
        <v>641</v>
      </c>
      <c r="XS2" s="2" t="s">
        <v>642</v>
      </c>
      <c r="XT2" s="2" t="s">
        <v>643</v>
      </c>
      <c r="XU2" s="2" t="s">
        <v>644</v>
      </c>
      <c r="XV2" s="2" t="s">
        <v>645</v>
      </c>
      <c r="XW2" s="2" t="s">
        <v>646</v>
      </c>
      <c r="XX2" s="2" t="s">
        <v>647</v>
      </c>
      <c r="XY2" s="2" t="s">
        <v>648</v>
      </c>
      <c r="XZ2" s="2" t="s">
        <v>649</v>
      </c>
      <c r="YA2" s="2" t="s">
        <v>650</v>
      </c>
      <c r="YB2" s="2" t="s">
        <v>651</v>
      </c>
      <c r="YC2" s="2" t="s">
        <v>652</v>
      </c>
      <c r="YD2" s="2" t="s">
        <v>653</v>
      </c>
      <c r="YE2" s="2" t="s">
        <v>654</v>
      </c>
      <c r="YF2" s="2" t="s">
        <v>655</v>
      </c>
      <c r="YG2" s="2" t="s">
        <v>656</v>
      </c>
      <c r="YH2" s="2" t="s">
        <v>657</v>
      </c>
      <c r="YI2" s="2" t="s">
        <v>658</v>
      </c>
      <c r="YJ2" s="2" t="s">
        <v>659</v>
      </c>
      <c r="YK2" s="2" t="s">
        <v>660</v>
      </c>
      <c r="YL2" s="2" t="s">
        <v>661</v>
      </c>
      <c r="YM2" s="2" t="s">
        <v>662</v>
      </c>
      <c r="YN2" s="2" t="s">
        <v>663</v>
      </c>
      <c r="YO2" s="2" t="s">
        <v>664</v>
      </c>
      <c r="YP2" s="2" t="s">
        <v>665</v>
      </c>
      <c r="YQ2" s="2" t="s">
        <v>666</v>
      </c>
      <c r="YR2" s="2" t="s">
        <v>667</v>
      </c>
      <c r="YS2" s="2" t="s">
        <v>668</v>
      </c>
      <c r="YT2" s="2" t="s">
        <v>669</v>
      </c>
      <c r="YU2" s="2" t="s">
        <v>670</v>
      </c>
      <c r="YV2" s="2" t="s">
        <v>671</v>
      </c>
      <c r="YW2" s="2" t="s">
        <v>672</v>
      </c>
      <c r="YX2" s="2" t="s">
        <v>673</v>
      </c>
      <c r="YY2" s="2" t="s">
        <v>674</v>
      </c>
      <c r="YZ2" s="2" t="s">
        <v>675</v>
      </c>
      <c r="ZA2" s="2" t="s">
        <v>676</v>
      </c>
      <c r="ZB2" s="2" t="s">
        <v>677</v>
      </c>
      <c r="ZC2" s="2" t="s">
        <v>678</v>
      </c>
      <c r="ZD2" s="2" t="s">
        <v>679</v>
      </c>
      <c r="ZE2" s="2" t="s">
        <v>680</v>
      </c>
      <c r="ZF2" s="2" t="s">
        <v>681</v>
      </c>
      <c r="ZG2" s="2" t="s">
        <v>682</v>
      </c>
      <c r="ZH2" s="2" t="s">
        <v>683</v>
      </c>
      <c r="ZI2" s="2" t="s">
        <v>684</v>
      </c>
      <c r="ZJ2" s="2" t="s">
        <v>685</v>
      </c>
      <c r="ZK2" s="2" t="s">
        <v>686</v>
      </c>
      <c r="ZL2" s="2" t="s">
        <v>687</v>
      </c>
      <c r="ZM2" s="2" t="s">
        <v>688</v>
      </c>
      <c r="ZN2" s="2" t="s">
        <v>689</v>
      </c>
      <c r="ZO2" s="2" t="s">
        <v>690</v>
      </c>
      <c r="ZP2" s="2" t="s">
        <v>691</v>
      </c>
      <c r="ZQ2" s="2" t="s">
        <v>692</v>
      </c>
      <c r="ZR2" s="2" t="s">
        <v>693</v>
      </c>
      <c r="ZS2" s="2" t="s">
        <v>694</v>
      </c>
      <c r="ZT2" s="2" t="s">
        <v>695</v>
      </c>
      <c r="ZU2" s="2" t="s">
        <v>696</v>
      </c>
      <c r="ZV2" s="2" t="s">
        <v>697</v>
      </c>
      <c r="ZW2" s="2" t="s">
        <v>698</v>
      </c>
      <c r="ZX2" s="2" t="s">
        <v>699</v>
      </c>
      <c r="ZY2" s="2" t="s">
        <v>700</v>
      </c>
      <c r="ZZ2" s="2" t="s">
        <v>701</v>
      </c>
      <c r="AAA2" s="2" t="s">
        <v>702</v>
      </c>
      <c r="AAB2" s="2" t="s">
        <v>703</v>
      </c>
      <c r="AAC2" s="2" t="s">
        <v>704</v>
      </c>
      <c r="AAD2" s="2" t="s">
        <v>705</v>
      </c>
      <c r="AAE2" s="2" t="s">
        <v>706</v>
      </c>
      <c r="AAF2" s="2" t="s">
        <v>707</v>
      </c>
      <c r="AAG2" s="2" t="s">
        <v>708</v>
      </c>
      <c r="AAH2" s="2" t="s">
        <v>709</v>
      </c>
      <c r="AAI2" s="2" t="s">
        <v>710</v>
      </c>
      <c r="AAJ2" s="2" t="s">
        <v>711</v>
      </c>
      <c r="AAK2" s="2" t="s">
        <v>712</v>
      </c>
      <c r="AAL2" s="2" t="s">
        <v>713</v>
      </c>
      <c r="AAM2" s="2" t="s">
        <v>714</v>
      </c>
      <c r="AAN2" s="2" t="s">
        <v>715</v>
      </c>
      <c r="AAO2" s="2" t="s">
        <v>716</v>
      </c>
      <c r="AAP2" s="2" t="s">
        <v>717</v>
      </c>
      <c r="AAQ2" s="2" t="s">
        <v>718</v>
      </c>
      <c r="AAR2" s="2" t="s">
        <v>719</v>
      </c>
      <c r="AAS2" s="2" t="s">
        <v>720</v>
      </c>
      <c r="AAT2" s="2" t="s">
        <v>721</v>
      </c>
      <c r="AAU2" s="2" t="s">
        <v>722</v>
      </c>
      <c r="AAV2" s="2" t="s">
        <v>723</v>
      </c>
      <c r="AAW2" s="2" t="s">
        <v>724</v>
      </c>
      <c r="AAX2" s="2" t="s">
        <v>725</v>
      </c>
      <c r="AAY2" s="2" t="s">
        <v>726</v>
      </c>
      <c r="AAZ2" s="2" t="s">
        <v>727</v>
      </c>
      <c r="ABA2" s="2" t="s">
        <v>728</v>
      </c>
      <c r="ABB2" s="2" t="s">
        <v>729</v>
      </c>
      <c r="ABC2" s="2" t="s">
        <v>730</v>
      </c>
      <c r="ABD2" s="2" t="s">
        <v>731</v>
      </c>
      <c r="ABE2" s="2" t="s">
        <v>732</v>
      </c>
      <c r="ABF2" s="2" t="s">
        <v>733</v>
      </c>
      <c r="ABG2" s="2" t="s">
        <v>734</v>
      </c>
      <c r="ABH2" s="2" t="s">
        <v>735</v>
      </c>
      <c r="ABI2" s="2" t="s">
        <v>736</v>
      </c>
      <c r="ABJ2" s="2" t="s">
        <v>737</v>
      </c>
      <c r="ABK2" s="2" t="s">
        <v>738</v>
      </c>
      <c r="ABL2" s="2" t="s">
        <v>739</v>
      </c>
      <c r="ABM2" s="2" t="s">
        <v>740</v>
      </c>
      <c r="ABN2" s="2" t="s">
        <v>741</v>
      </c>
      <c r="ABO2" s="2" t="s">
        <v>742</v>
      </c>
      <c r="ABP2" s="2" t="s">
        <v>743</v>
      </c>
      <c r="ABQ2" s="2" t="s">
        <v>744</v>
      </c>
      <c r="ABR2" s="2" t="s">
        <v>745</v>
      </c>
      <c r="ABS2" s="2" t="s">
        <v>746</v>
      </c>
      <c r="ABT2" s="2" t="s">
        <v>747</v>
      </c>
      <c r="ABU2" s="2" t="s">
        <v>748</v>
      </c>
      <c r="ABV2" s="2" t="s">
        <v>749</v>
      </c>
      <c r="ABW2" s="2" t="s">
        <v>750</v>
      </c>
      <c r="ABX2" s="2" t="s">
        <v>751</v>
      </c>
      <c r="ABY2" s="2" t="s">
        <v>752</v>
      </c>
      <c r="ABZ2" s="2" t="s">
        <v>753</v>
      </c>
      <c r="ACA2" s="2" t="s">
        <v>754</v>
      </c>
      <c r="ACB2" s="2" t="s">
        <v>755</v>
      </c>
      <c r="ACC2" s="2" t="s">
        <v>756</v>
      </c>
      <c r="ACD2" s="2" t="s">
        <v>757</v>
      </c>
      <c r="ACE2" s="2" t="s">
        <v>758</v>
      </c>
      <c r="ACF2" s="2" t="s">
        <v>759</v>
      </c>
      <c r="ACG2" s="2" t="s">
        <v>760</v>
      </c>
      <c r="ACH2" s="2" t="s">
        <v>761</v>
      </c>
      <c r="ACI2" s="2" t="s">
        <v>762</v>
      </c>
      <c r="ACJ2" s="2" t="s">
        <v>763</v>
      </c>
      <c r="ACK2" s="2" t="s">
        <v>764</v>
      </c>
      <c r="ACL2" s="2" t="s">
        <v>765</v>
      </c>
      <c r="ACM2" s="2" t="s">
        <v>766</v>
      </c>
      <c r="ACN2" s="2" t="s">
        <v>767</v>
      </c>
      <c r="ACO2" s="2" t="s">
        <v>768</v>
      </c>
      <c r="ACP2" s="2" t="s">
        <v>769</v>
      </c>
      <c r="ACQ2" s="2" t="s">
        <v>770</v>
      </c>
      <c r="ACR2" s="2" t="s">
        <v>771</v>
      </c>
      <c r="ACS2" s="2" t="s">
        <v>772</v>
      </c>
      <c r="ACT2" s="2" t="s">
        <v>773</v>
      </c>
      <c r="ACU2" s="2" t="s">
        <v>774</v>
      </c>
      <c r="ACV2" s="2" t="s">
        <v>775</v>
      </c>
      <c r="ACW2" s="2" t="s">
        <v>776</v>
      </c>
      <c r="ACX2" s="2" t="s">
        <v>777</v>
      </c>
      <c r="ACY2" s="2" t="s">
        <v>778</v>
      </c>
      <c r="ACZ2" s="2" t="s">
        <v>779</v>
      </c>
      <c r="ADA2" s="2" t="s">
        <v>780</v>
      </c>
      <c r="ADB2" s="2" t="s">
        <v>781</v>
      </c>
      <c r="ADC2" s="2" t="s">
        <v>782</v>
      </c>
      <c r="ADD2" s="2" t="s">
        <v>783</v>
      </c>
      <c r="ADE2" s="2" t="s">
        <v>784</v>
      </c>
      <c r="ADF2" s="2" t="s">
        <v>785</v>
      </c>
      <c r="ADG2" s="2" t="s">
        <v>786</v>
      </c>
      <c r="ADH2" s="2" t="s">
        <v>787</v>
      </c>
      <c r="ADI2" s="2" t="s">
        <v>788</v>
      </c>
      <c r="ADJ2" s="2" t="s">
        <v>789</v>
      </c>
      <c r="ADK2" s="2" t="s">
        <v>790</v>
      </c>
      <c r="ADL2" s="2" t="s">
        <v>791</v>
      </c>
      <c r="ADM2" s="2" t="s">
        <v>792</v>
      </c>
      <c r="ADN2" s="2" t="s">
        <v>793</v>
      </c>
      <c r="ADO2" s="2" t="s">
        <v>794</v>
      </c>
      <c r="ADP2" s="2" t="s">
        <v>795</v>
      </c>
      <c r="ADQ2" s="2" t="s">
        <v>796</v>
      </c>
      <c r="ADR2" s="2" t="s">
        <v>797</v>
      </c>
      <c r="ADS2" s="2" t="s">
        <v>798</v>
      </c>
      <c r="ADT2" s="2" t="s">
        <v>799</v>
      </c>
      <c r="ADU2" s="2" t="s">
        <v>800</v>
      </c>
      <c r="ADV2" s="2" t="s">
        <v>801</v>
      </c>
      <c r="ADW2" s="2" t="s">
        <v>802</v>
      </c>
      <c r="ADX2" s="2" t="s">
        <v>803</v>
      </c>
      <c r="ADY2" s="2" t="s">
        <v>804</v>
      </c>
      <c r="ADZ2" s="2" t="s">
        <v>805</v>
      </c>
      <c r="AEA2" s="2" t="s">
        <v>806</v>
      </c>
      <c r="AEB2" s="2" t="s">
        <v>807</v>
      </c>
      <c r="AEC2" s="2" t="s">
        <v>808</v>
      </c>
      <c r="AED2" s="2" t="s">
        <v>809</v>
      </c>
      <c r="AEE2" s="2" t="s">
        <v>810</v>
      </c>
      <c r="AEF2" s="2" t="s">
        <v>811</v>
      </c>
      <c r="AEG2" s="2" t="s">
        <v>812</v>
      </c>
      <c r="AEH2" s="2" t="s">
        <v>813</v>
      </c>
      <c r="AEI2" s="2" t="s">
        <v>814</v>
      </c>
      <c r="AEJ2" s="2" t="s">
        <v>815</v>
      </c>
      <c r="AEK2" s="2" t="s">
        <v>816</v>
      </c>
      <c r="AEL2" s="2" t="s">
        <v>817</v>
      </c>
      <c r="AEM2" s="2" t="s">
        <v>818</v>
      </c>
      <c r="AEN2" s="2" t="s">
        <v>819</v>
      </c>
      <c r="AEO2" s="2" t="s">
        <v>820</v>
      </c>
      <c r="AEP2" s="2" t="s">
        <v>821</v>
      </c>
      <c r="AEQ2" s="2" t="s">
        <v>822</v>
      </c>
      <c r="AER2" s="2" t="s">
        <v>823</v>
      </c>
      <c r="AES2" s="2" t="s">
        <v>824</v>
      </c>
      <c r="AET2" s="2" t="s">
        <v>825</v>
      </c>
      <c r="AEU2" s="2" t="s">
        <v>826</v>
      </c>
      <c r="AEV2" s="2" t="s">
        <v>827</v>
      </c>
      <c r="AEW2" s="2" t="s">
        <v>828</v>
      </c>
      <c r="AEX2" s="2" t="s">
        <v>829</v>
      </c>
      <c r="AEY2" s="2" t="s">
        <v>830</v>
      </c>
      <c r="AEZ2" s="2" t="s">
        <v>831</v>
      </c>
      <c r="AFA2" s="2" t="s">
        <v>832</v>
      </c>
      <c r="AFB2" s="2" t="s">
        <v>833</v>
      </c>
      <c r="AFC2" s="2" t="s">
        <v>834</v>
      </c>
      <c r="AFD2" s="2" t="s">
        <v>835</v>
      </c>
      <c r="AFE2" s="2" t="s">
        <v>836</v>
      </c>
      <c r="AFF2" s="2" t="s">
        <v>837</v>
      </c>
      <c r="AFG2" s="2" t="s">
        <v>838</v>
      </c>
      <c r="AFH2" s="2" t="s">
        <v>839</v>
      </c>
      <c r="AFI2" s="2" t="s">
        <v>840</v>
      </c>
      <c r="AFJ2" s="2" t="s">
        <v>841</v>
      </c>
      <c r="AFK2" s="2" t="s">
        <v>842</v>
      </c>
      <c r="AFL2" s="2" t="s">
        <v>843</v>
      </c>
      <c r="AFM2" s="2" t="s">
        <v>844</v>
      </c>
      <c r="AFN2" s="2" t="s">
        <v>845</v>
      </c>
      <c r="AFO2" s="2" t="s">
        <v>846</v>
      </c>
      <c r="AFP2" s="2" t="s">
        <v>847</v>
      </c>
      <c r="AFQ2" s="2" t="s">
        <v>848</v>
      </c>
      <c r="AFR2" s="2" t="s">
        <v>849</v>
      </c>
      <c r="AFS2" s="2" t="s">
        <v>850</v>
      </c>
      <c r="AFT2" s="2" t="s">
        <v>851</v>
      </c>
      <c r="AFU2" s="2" t="s">
        <v>852</v>
      </c>
      <c r="AFV2" s="2" t="s">
        <v>853</v>
      </c>
      <c r="AFW2" s="2" t="s">
        <v>854</v>
      </c>
      <c r="AFX2" s="2" t="s">
        <v>855</v>
      </c>
      <c r="AFY2" s="2" t="s">
        <v>856</v>
      </c>
      <c r="AFZ2" s="2" t="s">
        <v>857</v>
      </c>
      <c r="AGA2" s="2" t="s">
        <v>858</v>
      </c>
      <c r="AGB2" s="2" t="s">
        <v>859</v>
      </c>
      <c r="AGC2" s="2" t="s">
        <v>860</v>
      </c>
      <c r="AGD2" s="2" t="s">
        <v>861</v>
      </c>
      <c r="AGE2" s="2" t="s">
        <v>862</v>
      </c>
      <c r="AGF2" s="2" t="s">
        <v>863</v>
      </c>
      <c r="AGG2" s="2" t="s">
        <v>864</v>
      </c>
      <c r="AGH2" s="2" t="s">
        <v>865</v>
      </c>
      <c r="AGI2" s="2" t="s">
        <v>866</v>
      </c>
      <c r="AGJ2" s="2" t="s">
        <v>867</v>
      </c>
      <c r="AGK2" s="2" t="s">
        <v>868</v>
      </c>
      <c r="AGL2" s="2" t="s">
        <v>869</v>
      </c>
      <c r="AGM2" s="2" t="s">
        <v>870</v>
      </c>
      <c r="AGN2" s="2" t="s">
        <v>871</v>
      </c>
      <c r="AGO2" s="2" t="s">
        <v>872</v>
      </c>
      <c r="AGP2" s="2" t="s">
        <v>873</v>
      </c>
      <c r="AGQ2" s="2" t="s">
        <v>874</v>
      </c>
      <c r="AGR2" s="2" t="s">
        <v>875</v>
      </c>
      <c r="AGS2" s="2" t="s">
        <v>876</v>
      </c>
      <c r="AGT2" s="2" t="s">
        <v>877</v>
      </c>
      <c r="AGU2" s="2" t="s">
        <v>878</v>
      </c>
      <c r="AGV2" s="2" t="s">
        <v>879</v>
      </c>
      <c r="AGW2" s="2" t="s">
        <v>880</v>
      </c>
      <c r="AGX2" s="2" t="s">
        <v>881</v>
      </c>
      <c r="AGY2" s="2" t="s">
        <v>882</v>
      </c>
      <c r="AGZ2" s="2" t="s">
        <v>883</v>
      </c>
      <c r="AHA2" s="2" t="s">
        <v>884</v>
      </c>
      <c r="AHB2" s="2" t="s">
        <v>885</v>
      </c>
      <c r="AHC2" s="2" t="s">
        <v>886</v>
      </c>
      <c r="AHD2" s="2" t="s">
        <v>887</v>
      </c>
      <c r="AHE2" s="2" t="s">
        <v>888</v>
      </c>
      <c r="AHF2" s="2" t="s">
        <v>889</v>
      </c>
      <c r="AHG2" s="2" t="s">
        <v>890</v>
      </c>
      <c r="AHH2" s="2" t="s">
        <v>891</v>
      </c>
      <c r="AHI2" s="2" t="s">
        <v>892</v>
      </c>
      <c r="AHJ2" s="2" t="s">
        <v>893</v>
      </c>
      <c r="AHK2" s="2" t="s">
        <v>894</v>
      </c>
      <c r="AHL2" s="2" t="s">
        <v>895</v>
      </c>
      <c r="AHM2" s="2" t="s">
        <v>896</v>
      </c>
      <c r="AHN2" s="2" t="s">
        <v>897</v>
      </c>
      <c r="AHO2" s="2" t="s">
        <v>898</v>
      </c>
      <c r="AHP2" s="2" t="s">
        <v>899</v>
      </c>
      <c r="AHQ2" s="2" t="s">
        <v>900</v>
      </c>
      <c r="AHR2" s="2" t="s">
        <v>901</v>
      </c>
      <c r="AHS2" s="2" t="s">
        <v>902</v>
      </c>
      <c r="AHT2" s="2" t="s">
        <v>903</v>
      </c>
      <c r="AHU2" s="2" t="s">
        <v>904</v>
      </c>
      <c r="AHV2" s="2" t="s">
        <v>905</v>
      </c>
      <c r="AHW2" s="2" t="s">
        <v>906</v>
      </c>
      <c r="AHX2" s="2" t="s">
        <v>907</v>
      </c>
      <c r="AHY2" s="2" t="s">
        <v>908</v>
      </c>
      <c r="AHZ2" s="2" t="s">
        <v>909</v>
      </c>
      <c r="AIA2" s="2" t="s">
        <v>910</v>
      </c>
      <c r="AIB2" s="2" t="s">
        <v>911</v>
      </c>
      <c r="AIC2" s="2" t="s">
        <v>912</v>
      </c>
      <c r="AID2" s="2" t="s">
        <v>913</v>
      </c>
      <c r="AIE2" s="2" t="s">
        <v>914</v>
      </c>
      <c r="AIF2" s="2" t="s">
        <v>915</v>
      </c>
      <c r="AIG2" s="2" t="s">
        <v>916</v>
      </c>
      <c r="AIH2" s="2" t="s">
        <v>917</v>
      </c>
      <c r="AII2" s="2" t="s">
        <v>918</v>
      </c>
      <c r="AIJ2" s="2" t="s">
        <v>919</v>
      </c>
      <c r="AIK2" s="2" t="s">
        <v>920</v>
      </c>
      <c r="AIL2" s="2" t="s">
        <v>921</v>
      </c>
      <c r="AIM2" s="2" t="s">
        <v>922</v>
      </c>
      <c r="AIN2" s="2" t="s">
        <v>923</v>
      </c>
      <c r="AIO2" s="2" t="s">
        <v>924</v>
      </c>
      <c r="AIP2" s="2" t="s">
        <v>925</v>
      </c>
      <c r="AIQ2" s="2" t="s">
        <v>926</v>
      </c>
      <c r="AIR2" s="2" t="s">
        <v>927</v>
      </c>
      <c r="AIS2" s="2" t="s">
        <v>928</v>
      </c>
      <c r="AIT2" s="2" t="s">
        <v>929</v>
      </c>
      <c r="AIU2" s="2" t="s">
        <v>930</v>
      </c>
      <c r="AIV2" s="2" t="s">
        <v>931</v>
      </c>
      <c r="AIW2" s="2" t="s">
        <v>932</v>
      </c>
      <c r="AIX2" s="2" t="s">
        <v>933</v>
      </c>
      <c r="AIY2" s="2" t="s">
        <v>934</v>
      </c>
      <c r="AIZ2" s="2" t="s">
        <v>935</v>
      </c>
      <c r="AJA2" s="2" t="s">
        <v>936</v>
      </c>
      <c r="AJB2" s="2" t="s">
        <v>937</v>
      </c>
      <c r="AJC2" s="2" t="s">
        <v>938</v>
      </c>
      <c r="AJD2" s="2" t="s">
        <v>939</v>
      </c>
      <c r="AJE2" s="2" t="s">
        <v>940</v>
      </c>
      <c r="AJF2" s="2" t="s">
        <v>941</v>
      </c>
      <c r="AJG2" s="2" t="s">
        <v>942</v>
      </c>
      <c r="AJH2" s="2" t="s">
        <v>943</v>
      </c>
      <c r="AJI2" s="2" t="s">
        <v>944</v>
      </c>
      <c r="AJJ2" s="2" t="s">
        <v>945</v>
      </c>
      <c r="AJK2" s="2" t="s">
        <v>946</v>
      </c>
      <c r="AJL2" s="2" t="s">
        <v>947</v>
      </c>
      <c r="AJM2" s="2" t="s">
        <v>948</v>
      </c>
      <c r="AJN2" s="2" t="s">
        <v>949</v>
      </c>
      <c r="AJO2" s="2" t="s">
        <v>950</v>
      </c>
      <c r="AJP2" s="2" t="s">
        <v>951</v>
      </c>
      <c r="AJQ2" s="2" t="s">
        <v>952</v>
      </c>
      <c r="AJR2" s="2" t="s">
        <v>953</v>
      </c>
      <c r="AJS2" s="2" t="s">
        <v>954</v>
      </c>
      <c r="AJT2" s="2" t="s">
        <v>955</v>
      </c>
      <c r="AJU2" s="2" t="s">
        <v>956</v>
      </c>
      <c r="AJV2" s="2" t="s">
        <v>957</v>
      </c>
      <c r="AJW2" s="2" t="s">
        <v>958</v>
      </c>
      <c r="AJX2" s="2" t="s">
        <v>959</v>
      </c>
      <c r="AJY2" s="2" t="s">
        <v>960</v>
      </c>
      <c r="AJZ2" s="2" t="s">
        <v>961</v>
      </c>
      <c r="AKA2" s="2" t="s">
        <v>962</v>
      </c>
      <c r="AKB2" s="2" t="s">
        <v>963</v>
      </c>
      <c r="AKC2" s="2" t="s">
        <v>964</v>
      </c>
      <c r="AKD2" s="2" t="s">
        <v>965</v>
      </c>
      <c r="AKE2" s="2" t="s">
        <v>966</v>
      </c>
      <c r="AKF2" s="2" t="s">
        <v>967</v>
      </c>
      <c r="AKG2" s="2" t="s">
        <v>968</v>
      </c>
      <c r="AKH2" s="2" t="s">
        <v>969</v>
      </c>
      <c r="AKI2" s="2" t="s">
        <v>970</v>
      </c>
      <c r="AKJ2" s="2" t="s">
        <v>971</v>
      </c>
      <c r="AKK2" s="2" t="s">
        <v>972</v>
      </c>
      <c r="AKL2" s="2" t="s">
        <v>973</v>
      </c>
      <c r="AKM2" s="2" t="s">
        <v>974</v>
      </c>
      <c r="AKN2" s="2" t="s">
        <v>975</v>
      </c>
      <c r="AKO2" s="2" t="s">
        <v>976</v>
      </c>
      <c r="AKP2" s="2" t="s">
        <v>977</v>
      </c>
      <c r="AKQ2" s="2" t="s">
        <v>978</v>
      </c>
      <c r="AKR2" s="2" t="s">
        <v>979</v>
      </c>
      <c r="AKS2" s="2" t="s">
        <v>980</v>
      </c>
      <c r="AKT2" s="2" t="s">
        <v>981</v>
      </c>
      <c r="AKU2" s="2" t="s">
        <v>982</v>
      </c>
      <c r="AKV2" s="2" t="s">
        <v>983</v>
      </c>
      <c r="AKW2" s="2" t="s">
        <v>984</v>
      </c>
      <c r="AKX2" s="2" t="s">
        <v>985</v>
      </c>
      <c r="AKY2" s="2" t="s">
        <v>986</v>
      </c>
      <c r="AKZ2" s="2" t="s">
        <v>987</v>
      </c>
      <c r="ALA2" s="2" t="s">
        <v>988</v>
      </c>
      <c r="ALB2" s="2" t="s">
        <v>989</v>
      </c>
      <c r="ALC2" s="2" t="s">
        <v>990</v>
      </c>
      <c r="ALD2" s="2" t="s">
        <v>991</v>
      </c>
      <c r="ALE2" s="2" t="s">
        <v>992</v>
      </c>
      <c r="ALF2" s="2" t="s">
        <v>993</v>
      </c>
      <c r="ALG2" s="2" t="s">
        <v>994</v>
      </c>
      <c r="ALH2" s="2" t="s">
        <v>995</v>
      </c>
      <c r="ALI2" s="2" t="s">
        <v>996</v>
      </c>
      <c r="ALJ2" s="2" t="s">
        <v>997</v>
      </c>
      <c r="ALK2" s="2" t="s">
        <v>998</v>
      </c>
      <c r="ALL2" s="2" t="s">
        <v>999</v>
      </c>
      <c r="ALM2" s="2" t="s">
        <v>1000</v>
      </c>
      <c r="ALN2" s="2" t="s">
        <v>1001</v>
      </c>
      <c r="ALO2" s="2" t="s">
        <v>1002</v>
      </c>
      <c r="ALP2" s="2" t="s">
        <v>1003</v>
      </c>
      <c r="ALQ2" s="2" t="s">
        <v>1004</v>
      </c>
      <c r="ALR2" s="2" t="s">
        <v>1005</v>
      </c>
      <c r="ALS2" s="2" t="s">
        <v>1006</v>
      </c>
      <c r="ALT2" s="2" t="s">
        <v>1007</v>
      </c>
      <c r="ALU2" s="2" t="s">
        <v>1008</v>
      </c>
      <c r="ALV2" s="2" t="s">
        <v>1009</v>
      </c>
      <c r="ALW2" s="2" t="s">
        <v>1010</v>
      </c>
      <c r="ALX2" s="2" t="s">
        <v>1011</v>
      </c>
      <c r="ALY2" s="2" t="s">
        <v>1012</v>
      </c>
      <c r="ALZ2" s="2" t="s">
        <v>1013</v>
      </c>
      <c r="AMA2" s="2" t="s">
        <v>1014</v>
      </c>
      <c r="AMB2" s="2" t="s">
        <v>1015</v>
      </c>
      <c r="AMC2" s="2" t="s">
        <v>1016</v>
      </c>
      <c r="AMD2" s="2" t="s">
        <v>1017</v>
      </c>
      <c r="AME2" s="2" t="s">
        <v>1018</v>
      </c>
      <c r="AMF2" s="2" t="s">
        <v>1019</v>
      </c>
      <c r="AMG2" s="2" t="s">
        <v>1020</v>
      </c>
      <c r="AMH2" s="2" t="s">
        <v>1021</v>
      </c>
      <c r="AMI2" s="2" t="s">
        <v>1022</v>
      </c>
      <c r="AMJ2" s="2" t="s">
        <v>1023</v>
      </c>
      <c r="AMK2" s="2" t="s">
        <v>1024</v>
      </c>
      <c r="AML2" s="2" t="s">
        <v>1025</v>
      </c>
      <c r="AMM2" s="2" t="s">
        <v>1026</v>
      </c>
      <c r="AMN2" s="2" t="s">
        <v>1027</v>
      </c>
      <c r="AMO2" s="2" t="s">
        <v>1028</v>
      </c>
      <c r="AMP2" s="2" t="s">
        <v>1029</v>
      </c>
      <c r="AMQ2" s="2" t="s">
        <v>1030</v>
      </c>
      <c r="AMR2" s="2" t="s">
        <v>1031</v>
      </c>
      <c r="AMS2" s="2" t="s">
        <v>1032</v>
      </c>
      <c r="AMT2" s="2" t="s">
        <v>1033</v>
      </c>
      <c r="AMU2" s="2" t="s">
        <v>1034</v>
      </c>
      <c r="AMV2" s="2" t="s">
        <v>1035</v>
      </c>
      <c r="AMW2" s="2" t="s">
        <v>1036</v>
      </c>
      <c r="AMX2" s="2" t="s">
        <v>1037</v>
      </c>
      <c r="AMY2" s="2" t="s">
        <v>1038</v>
      </c>
      <c r="AMZ2" s="2" t="s">
        <v>1039</v>
      </c>
      <c r="ANA2" s="2" t="s">
        <v>1040</v>
      </c>
      <c r="ANB2" s="2" t="s">
        <v>1041</v>
      </c>
      <c r="ANC2" s="2" t="s">
        <v>1042</v>
      </c>
      <c r="AND2" s="2" t="s">
        <v>1043</v>
      </c>
      <c r="ANE2" s="2" t="s">
        <v>1044</v>
      </c>
      <c r="ANF2" s="2" t="s">
        <v>1045</v>
      </c>
      <c r="ANG2" s="2" t="s">
        <v>1046</v>
      </c>
      <c r="ANH2" s="2" t="s">
        <v>1047</v>
      </c>
      <c r="ANI2" s="2" t="s">
        <v>1048</v>
      </c>
      <c r="ANJ2" s="2" t="s">
        <v>1049</v>
      </c>
      <c r="ANK2" s="2" t="s">
        <v>1050</v>
      </c>
      <c r="ANL2" s="2" t="s">
        <v>1051</v>
      </c>
      <c r="ANM2" s="2" t="s">
        <v>1052</v>
      </c>
      <c r="ANN2" s="2" t="s">
        <v>1053</v>
      </c>
      <c r="ANO2" s="2" t="s">
        <v>1054</v>
      </c>
      <c r="ANP2" s="2" t="s">
        <v>1055</v>
      </c>
      <c r="ANQ2" s="2" t="s">
        <v>1056</v>
      </c>
      <c r="ANR2" s="2" t="s">
        <v>1057</v>
      </c>
      <c r="ANS2" s="2" t="s">
        <v>1058</v>
      </c>
      <c r="ANT2" s="2" t="s">
        <v>1059</v>
      </c>
      <c r="ANU2" s="2" t="s">
        <v>1060</v>
      </c>
      <c r="ANV2" s="2" t="s">
        <v>1061</v>
      </c>
      <c r="ANW2" s="2" t="s">
        <v>1062</v>
      </c>
      <c r="ANX2" s="2" t="s">
        <v>1063</v>
      </c>
      <c r="ANY2" s="2" t="s">
        <v>1064</v>
      </c>
      <c r="ANZ2" s="2" t="s">
        <v>1065</v>
      </c>
      <c r="AOA2" s="2" t="s">
        <v>1066</v>
      </c>
      <c r="AOB2" s="2" t="s">
        <v>1067</v>
      </c>
      <c r="AOC2" s="2" t="s">
        <v>1068</v>
      </c>
      <c r="AOD2" s="2" t="s">
        <v>1069</v>
      </c>
      <c r="AOE2" s="2" t="s">
        <v>1070</v>
      </c>
      <c r="AOF2" s="2" t="s">
        <v>1071</v>
      </c>
      <c r="AOG2" s="2" t="s">
        <v>1072</v>
      </c>
      <c r="AOH2" s="2" t="s">
        <v>1073</v>
      </c>
      <c r="AOI2" s="2" t="s">
        <v>1074</v>
      </c>
      <c r="AOJ2" s="2" t="s">
        <v>1075</v>
      </c>
      <c r="AOK2" s="2" t="s">
        <v>1076</v>
      </c>
      <c r="AOL2" s="2" t="s">
        <v>1077</v>
      </c>
      <c r="AOM2" s="2" t="s">
        <v>1078</v>
      </c>
      <c r="AON2" s="2" t="s">
        <v>1079</v>
      </c>
      <c r="AOO2" s="2" t="s">
        <v>1080</v>
      </c>
      <c r="AOP2" s="2" t="s">
        <v>1081</v>
      </c>
      <c r="AOQ2" s="2" t="s">
        <v>1082</v>
      </c>
      <c r="AOR2" s="2" t="s">
        <v>1083</v>
      </c>
      <c r="AOS2" s="2" t="s">
        <v>1084</v>
      </c>
      <c r="AOT2" s="2" t="s">
        <v>1085</v>
      </c>
      <c r="AOU2" s="2" t="s">
        <v>1086</v>
      </c>
      <c r="AOV2" s="2" t="s">
        <v>1087</v>
      </c>
      <c r="AOW2" s="2" t="s">
        <v>1088</v>
      </c>
      <c r="AOX2" s="2" t="s">
        <v>1089</v>
      </c>
      <c r="AOY2" s="2" t="s">
        <v>1090</v>
      </c>
      <c r="AOZ2" s="2" t="s">
        <v>1091</v>
      </c>
      <c r="APA2" s="2" t="s">
        <v>1092</v>
      </c>
      <c r="APB2" s="2" t="s">
        <v>1093</v>
      </c>
      <c r="APC2" s="2" t="s">
        <v>1094</v>
      </c>
      <c r="APD2" s="2" t="s">
        <v>1095</v>
      </c>
      <c r="APE2" s="2" t="s">
        <v>1096</v>
      </c>
      <c r="APF2" s="2" t="s">
        <v>1097</v>
      </c>
      <c r="APG2" s="2" t="s">
        <v>1098</v>
      </c>
      <c r="APH2" s="2" t="s">
        <v>1099</v>
      </c>
      <c r="API2" s="2" t="s">
        <v>1100</v>
      </c>
      <c r="APJ2" s="2" t="s">
        <v>1101</v>
      </c>
      <c r="APK2" s="2" t="s">
        <v>1102</v>
      </c>
      <c r="APL2" s="2" t="s">
        <v>1103</v>
      </c>
      <c r="APM2" s="2" t="s">
        <v>1104</v>
      </c>
      <c r="APN2" s="2" t="s">
        <v>1105</v>
      </c>
      <c r="APO2" s="2" t="s">
        <v>1106</v>
      </c>
      <c r="APP2" s="2" t="s">
        <v>1107</v>
      </c>
      <c r="APQ2" s="2" t="s">
        <v>1108</v>
      </c>
      <c r="APR2" s="2" t="s">
        <v>1109</v>
      </c>
      <c r="APS2" s="2" t="s">
        <v>1110</v>
      </c>
      <c r="APT2" s="2" t="s">
        <v>1111</v>
      </c>
      <c r="APU2" s="2" t="s">
        <v>1112</v>
      </c>
      <c r="APV2" s="2" t="s">
        <v>1113</v>
      </c>
      <c r="APW2" s="2" t="s">
        <v>1114</v>
      </c>
      <c r="APX2" s="2" t="s">
        <v>1115</v>
      </c>
      <c r="APY2" s="2" t="s">
        <v>1116</v>
      </c>
      <c r="APZ2" s="2" t="s">
        <v>1117</v>
      </c>
      <c r="AQA2" s="2" t="s">
        <v>1118</v>
      </c>
      <c r="AQB2" s="2" t="s">
        <v>1119</v>
      </c>
      <c r="AQC2" s="2" t="s">
        <v>1120</v>
      </c>
      <c r="AQD2" s="2" t="s">
        <v>1121</v>
      </c>
      <c r="AQE2" s="2" t="s">
        <v>1122</v>
      </c>
      <c r="AQF2" s="2" t="s">
        <v>1123</v>
      </c>
      <c r="AQG2" s="2" t="s">
        <v>1124</v>
      </c>
      <c r="AQH2" s="2" t="s">
        <v>1125</v>
      </c>
      <c r="AQI2" s="2" t="s">
        <v>1126</v>
      </c>
      <c r="AQJ2" s="2" t="s">
        <v>1127</v>
      </c>
      <c r="AQK2" s="2" t="s">
        <v>1128</v>
      </c>
      <c r="AQL2" s="2" t="s">
        <v>1129</v>
      </c>
      <c r="AQM2" s="2" t="s">
        <v>1130</v>
      </c>
      <c r="AQN2" s="2" t="s">
        <v>1131</v>
      </c>
      <c r="AQO2" s="2" t="s">
        <v>1132</v>
      </c>
      <c r="AQP2" s="2" t="s">
        <v>1133</v>
      </c>
      <c r="AQQ2" s="2" t="s">
        <v>1134</v>
      </c>
      <c r="AQR2" s="2" t="s">
        <v>1135</v>
      </c>
      <c r="AQS2" s="2" t="s">
        <v>1136</v>
      </c>
      <c r="AQT2" s="2" t="s">
        <v>1137</v>
      </c>
      <c r="AQU2" s="2" t="s">
        <v>1138</v>
      </c>
      <c r="AQV2" s="2" t="s">
        <v>1139</v>
      </c>
      <c r="AQW2" s="2" t="s">
        <v>1140</v>
      </c>
      <c r="AQX2" s="2" t="s">
        <v>1141</v>
      </c>
      <c r="AQY2" s="2" t="s">
        <v>1142</v>
      </c>
      <c r="AQZ2" s="2" t="s">
        <v>1143</v>
      </c>
      <c r="ARA2" s="2" t="s">
        <v>1144</v>
      </c>
      <c r="ARB2" s="2" t="s">
        <v>1145</v>
      </c>
      <c r="ARC2" s="2" t="s">
        <v>1146</v>
      </c>
      <c r="ARD2" s="2" t="s">
        <v>1147</v>
      </c>
      <c r="ARE2" s="2" t="s">
        <v>1148</v>
      </c>
      <c r="ARF2" s="2" t="s">
        <v>1149</v>
      </c>
      <c r="ARG2" s="2" t="s">
        <v>1150</v>
      </c>
      <c r="ARH2" s="2" t="s">
        <v>1151</v>
      </c>
      <c r="ARI2" s="2" t="s">
        <v>1152</v>
      </c>
      <c r="ARJ2" s="2" t="s">
        <v>1153</v>
      </c>
      <c r="ARK2" s="2" t="s">
        <v>1154</v>
      </c>
      <c r="ARL2" s="2" t="s">
        <v>1155</v>
      </c>
      <c r="ARM2" s="2" t="s">
        <v>1156</v>
      </c>
      <c r="ARN2" s="2" t="s">
        <v>1157</v>
      </c>
      <c r="ARO2" s="2" t="s">
        <v>1158</v>
      </c>
      <c r="ARP2" s="2" t="s">
        <v>1159</v>
      </c>
      <c r="ARQ2" s="2" t="s">
        <v>1160</v>
      </c>
      <c r="ARR2" s="2" t="s">
        <v>1161</v>
      </c>
      <c r="ARS2" s="2" t="s">
        <v>1162</v>
      </c>
      <c r="ART2" s="2" t="s">
        <v>1163</v>
      </c>
      <c r="ARU2" s="2" t="s">
        <v>1164</v>
      </c>
      <c r="ARV2" s="2" t="s">
        <v>1165</v>
      </c>
      <c r="ARW2" s="2" t="s">
        <v>1166</v>
      </c>
      <c r="ARX2" s="2" t="s">
        <v>1167</v>
      </c>
      <c r="ARY2" s="2" t="s">
        <v>1168</v>
      </c>
      <c r="ARZ2" s="2" t="s">
        <v>1169</v>
      </c>
      <c r="ASA2" s="2" t="s">
        <v>1170</v>
      </c>
      <c r="ASB2" s="2" t="s">
        <v>1171</v>
      </c>
      <c r="ASC2" s="2" t="s">
        <v>1172</v>
      </c>
      <c r="ASD2" s="2" t="s">
        <v>1173</v>
      </c>
      <c r="ASE2" s="2" t="s">
        <v>1174</v>
      </c>
      <c r="ASF2" s="2" t="s">
        <v>1175</v>
      </c>
      <c r="ASG2" s="2" t="s">
        <v>1176</v>
      </c>
      <c r="ASH2" s="2" t="s">
        <v>1177</v>
      </c>
      <c r="ASI2" s="2" t="s">
        <v>1178</v>
      </c>
      <c r="ASJ2" s="2" t="s">
        <v>1179</v>
      </c>
      <c r="ASK2" s="2" t="s">
        <v>1180</v>
      </c>
      <c r="ASL2" s="2" t="s">
        <v>1181</v>
      </c>
      <c r="ASM2" s="2" t="s">
        <v>1182</v>
      </c>
      <c r="ASN2" s="2" t="s">
        <v>1183</v>
      </c>
      <c r="ASO2" s="2" t="s">
        <v>1184</v>
      </c>
      <c r="ASP2" s="2" t="s">
        <v>1185</v>
      </c>
      <c r="ASQ2" s="2" t="s">
        <v>1186</v>
      </c>
      <c r="ASR2" s="2" t="s">
        <v>1187</v>
      </c>
      <c r="ASS2" s="2" t="s">
        <v>1188</v>
      </c>
      <c r="AST2" s="2" t="s">
        <v>1189</v>
      </c>
      <c r="ASU2" s="2" t="s">
        <v>1190</v>
      </c>
      <c r="ASV2" s="2" t="s">
        <v>1191</v>
      </c>
      <c r="ASW2" s="2" t="s">
        <v>1192</v>
      </c>
      <c r="ASX2" s="2" t="s">
        <v>1193</v>
      </c>
      <c r="ASY2" s="2" t="s">
        <v>1194</v>
      </c>
      <c r="ASZ2" s="2" t="s">
        <v>1195</v>
      </c>
      <c r="ATA2" s="2" t="s">
        <v>1196</v>
      </c>
      <c r="ATB2" s="2" t="s">
        <v>1197</v>
      </c>
      <c r="ATC2" s="2" t="s">
        <v>1198</v>
      </c>
      <c r="ATD2" s="2" t="s">
        <v>1199</v>
      </c>
      <c r="ATE2" s="2" t="s">
        <v>1200</v>
      </c>
      <c r="ATF2" s="2" t="s">
        <v>1201</v>
      </c>
      <c r="ATG2" s="2" t="s">
        <v>1202</v>
      </c>
      <c r="ATH2" s="2" t="s">
        <v>1203</v>
      </c>
      <c r="ATI2" s="2" t="s">
        <v>1204</v>
      </c>
      <c r="ATJ2" s="2" t="s">
        <v>1205</v>
      </c>
      <c r="ATK2" s="2" t="s">
        <v>1206</v>
      </c>
      <c r="ATL2" s="2" t="s">
        <v>1207</v>
      </c>
      <c r="ATM2" s="2" t="s">
        <v>1208</v>
      </c>
      <c r="ATN2" s="2" t="s">
        <v>1209</v>
      </c>
      <c r="ATO2" s="2" t="s">
        <v>1210</v>
      </c>
      <c r="ATP2" s="2" t="s">
        <v>1211</v>
      </c>
      <c r="ATQ2" s="2" t="s">
        <v>1212</v>
      </c>
      <c r="ATR2" s="2" t="s">
        <v>1213</v>
      </c>
      <c r="ATS2" s="2" t="s">
        <v>1214</v>
      </c>
      <c r="ATT2" s="2" t="s">
        <v>1215</v>
      </c>
      <c r="ATU2" s="2" t="s">
        <v>1216</v>
      </c>
      <c r="ATV2" s="2" t="s">
        <v>1217</v>
      </c>
      <c r="ATW2" s="2" t="s">
        <v>1218</v>
      </c>
      <c r="ATX2" s="2" t="s">
        <v>1219</v>
      </c>
      <c r="ATY2" s="2" t="s">
        <v>1220</v>
      </c>
      <c r="ATZ2" s="2" t="s">
        <v>1221</v>
      </c>
      <c r="AUA2" s="2" t="s">
        <v>1222</v>
      </c>
      <c r="AUB2" s="2" t="s">
        <v>1223</v>
      </c>
      <c r="AUC2" s="2" t="s">
        <v>1224</v>
      </c>
      <c r="AUD2" s="2" t="s">
        <v>1225</v>
      </c>
      <c r="AUE2" s="2" t="s">
        <v>1226</v>
      </c>
      <c r="AUF2" s="2" t="s">
        <v>1227</v>
      </c>
      <c r="AUG2" s="2" t="s">
        <v>1228</v>
      </c>
      <c r="AUH2" s="2" t="s">
        <v>1229</v>
      </c>
      <c r="AUI2" s="2" t="s">
        <v>1230</v>
      </c>
      <c r="AUJ2" s="2" t="s">
        <v>1231</v>
      </c>
      <c r="AUK2" s="2" t="s">
        <v>1232</v>
      </c>
      <c r="AUL2" s="2" t="s">
        <v>1233</v>
      </c>
      <c r="AUM2" s="2" t="s">
        <v>1234</v>
      </c>
      <c r="AUN2" s="2" t="s">
        <v>1235</v>
      </c>
      <c r="AUO2" s="2" t="s">
        <v>1236</v>
      </c>
      <c r="AUP2" s="2" t="s">
        <v>1237</v>
      </c>
      <c r="AUQ2" s="2" t="s">
        <v>1238</v>
      </c>
      <c r="AUR2" s="2" t="s">
        <v>1239</v>
      </c>
      <c r="AUS2" s="2" t="s">
        <v>1240</v>
      </c>
      <c r="AUT2" s="2" t="s">
        <v>1241</v>
      </c>
      <c r="AUU2" s="2" t="s">
        <v>1242</v>
      </c>
      <c r="AUV2" s="2" t="s">
        <v>1243</v>
      </c>
      <c r="AUW2" s="2" t="s">
        <v>1244</v>
      </c>
      <c r="AUX2" s="2" t="s">
        <v>1245</v>
      </c>
      <c r="AUY2" s="2" t="s">
        <v>1246</v>
      </c>
      <c r="AUZ2" s="2" t="s">
        <v>1247</v>
      </c>
      <c r="AVA2" s="2" t="s">
        <v>1248</v>
      </c>
      <c r="AVB2" s="2" t="s">
        <v>1249</v>
      </c>
      <c r="AVC2" s="2" t="s">
        <v>1250</v>
      </c>
      <c r="AVD2" s="2" t="s">
        <v>1251</v>
      </c>
      <c r="AVE2" s="2" t="s">
        <v>1252</v>
      </c>
      <c r="AVF2" s="2" t="s">
        <v>1253</v>
      </c>
      <c r="AVG2" s="2" t="s">
        <v>1254</v>
      </c>
      <c r="AVH2" s="2" t="s">
        <v>1255</v>
      </c>
      <c r="AVI2" s="2" t="s">
        <v>1256</v>
      </c>
      <c r="AVJ2" s="2" t="s">
        <v>1257</v>
      </c>
      <c r="AVK2" s="2" t="s">
        <v>1258</v>
      </c>
      <c r="AVL2" s="2" t="s">
        <v>1259</v>
      </c>
      <c r="AVM2" s="2" t="s">
        <v>1260</v>
      </c>
      <c r="AVN2" s="2" t="s">
        <v>1261</v>
      </c>
      <c r="AVO2" s="2" t="s">
        <v>1262</v>
      </c>
      <c r="AVP2" s="2" t="s">
        <v>1263</v>
      </c>
      <c r="AVQ2" s="2" t="s">
        <v>1264</v>
      </c>
      <c r="AVR2" s="2" t="s">
        <v>1265</v>
      </c>
      <c r="AVS2" s="2" t="s">
        <v>1266</v>
      </c>
      <c r="AVT2" s="2" t="s">
        <v>1267</v>
      </c>
      <c r="AVU2" s="2" t="s">
        <v>1268</v>
      </c>
      <c r="AVV2" s="2" t="s">
        <v>1269</v>
      </c>
      <c r="AVW2" s="2" t="s">
        <v>1270</v>
      </c>
      <c r="AVX2" s="2" t="s">
        <v>1271</v>
      </c>
      <c r="AVY2" s="2" t="s">
        <v>1272</v>
      </c>
      <c r="AVZ2" s="2" t="s">
        <v>1273</v>
      </c>
      <c r="AWA2" s="2" t="s">
        <v>1274</v>
      </c>
      <c r="AWB2" s="2" t="s">
        <v>1275</v>
      </c>
      <c r="AWC2" s="2" t="s">
        <v>1276</v>
      </c>
      <c r="AWD2" s="2" t="s">
        <v>1277</v>
      </c>
      <c r="AWE2" s="2" t="s">
        <v>1278</v>
      </c>
      <c r="AWF2" s="2" t="s">
        <v>1279</v>
      </c>
      <c r="AWG2" s="2" t="s">
        <v>1280</v>
      </c>
      <c r="AWH2" s="2" t="s">
        <v>1281</v>
      </c>
      <c r="AWI2" s="2" t="s">
        <v>1282</v>
      </c>
      <c r="AWJ2" s="2" t="s">
        <v>1283</v>
      </c>
      <c r="AWK2" s="2" t="s">
        <v>1284</v>
      </c>
      <c r="AWL2" s="2" t="s">
        <v>1285</v>
      </c>
      <c r="AWM2" s="2" t="s">
        <v>1286</v>
      </c>
      <c r="AWN2" s="2" t="s">
        <v>1287</v>
      </c>
      <c r="AWO2" s="2" t="s">
        <v>1288</v>
      </c>
      <c r="AWP2" s="2" t="s">
        <v>1289</v>
      </c>
      <c r="AWQ2" s="2" t="s">
        <v>1290</v>
      </c>
      <c r="AWR2" s="2" t="s">
        <v>1291</v>
      </c>
      <c r="AWS2" s="2" t="s">
        <v>1292</v>
      </c>
      <c r="AWT2" s="2" t="s">
        <v>1293</v>
      </c>
      <c r="AWU2" s="2" t="s">
        <v>1294</v>
      </c>
      <c r="AWV2" s="2" t="s">
        <v>1295</v>
      </c>
      <c r="AWW2" s="2" t="s">
        <v>1296</v>
      </c>
      <c r="AWX2" s="2" t="s">
        <v>1297</v>
      </c>
      <c r="AWY2" s="2" t="s">
        <v>1298</v>
      </c>
      <c r="AWZ2" s="2" t="s">
        <v>1299</v>
      </c>
      <c r="AXA2" s="2" t="s">
        <v>1300</v>
      </c>
      <c r="AXB2" s="2" t="s">
        <v>1301</v>
      </c>
    </row>
    <row r="3" spans="1:1302" x14ac:dyDescent="0.3">
      <c r="A3" s="1">
        <v>2025</v>
      </c>
    </row>
    <row r="4" spans="1:1302" x14ac:dyDescent="0.3">
      <c r="A4" s="1">
        <v>2024</v>
      </c>
    </row>
    <row r="5" spans="1:1302" x14ac:dyDescent="0.3">
      <c r="A5" s="1">
        <v>2023</v>
      </c>
    </row>
    <row r="6" spans="1:1302" x14ac:dyDescent="0.3">
      <c r="A6" s="1">
        <v>2022</v>
      </c>
      <c r="B6" s="2">
        <v>6552500</v>
      </c>
      <c r="C6" s="2">
        <v>0</v>
      </c>
      <c r="D6" s="2">
        <v>2317</v>
      </c>
      <c r="E6" s="2">
        <v>20</v>
      </c>
      <c r="F6" s="2">
        <v>2000</v>
      </c>
      <c r="G6" s="2">
        <v>1</v>
      </c>
      <c r="H6" s="2">
        <v>0.4</v>
      </c>
      <c r="I6" s="2">
        <v>5.0000000000000001E-3</v>
      </c>
      <c r="J6" s="2">
        <v>0.02</v>
      </c>
      <c r="K6" s="2">
        <v>1E-3</v>
      </c>
      <c r="L6" s="2">
        <v>7.0000000000000001E-3</v>
      </c>
      <c r="M6" s="2">
        <v>1E-3</v>
      </c>
      <c r="N6" s="2">
        <v>0.05</v>
      </c>
      <c r="O6" s="2">
        <v>4.7000000000000002E-3</v>
      </c>
      <c r="P6" s="2">
        <v>0.115</v>
      </c>
      <c r="Q6" s="2">
        <v>1.09E-2</v>
      </c>
      <c r="R6" s="2">
        <v>6.0000000000000001E-3</v>
      </c>
      <c r="S6" s="2">
        <v>1.7000000000000001E-2</v>
      </c>
      <c r="T6" s="2">
        <v>7.9000000000000001E-2</v>
      </c>
      <c r="U6" s="2">
        <v>2.2899999999999999E-3</v>
      </c>
      <c r="V6" s="2">
        <v>1.1999999999999999E-3</v>
      </c>
      <c r="W6" s="2">
        <v>8.0000000000000004E-4</v>
      </c>
      <c r="X6" s="2">
        <v>1.6E-2</v>
      </c>
      <c r="Y6" s="2">
        <v>1.4999999999999999E-2</v>
      </c>
      <c r="Z6" s="2">
        <v>2.5000000000000001E-2</v>
      </c>
      <c r="AA6" s="2">
        <v>0</v>
      </c>
      <c r="AB6" s="2">
        <v>12.91</v>
      </c>
      <c r="AC6" s="2">
        <v>3.4</v>
      </c>
      <c r="AD6" s="4">
        <v>9.1316603525653637</v>
      </c>
      <c r="AE6" s="5">
        <v>196.82477543906688</v>
      </c>
      <c r="AF6" s="5">
        <v>526.79376742810041</v>
      </c>
      <c r="AG6" s="2">
        <v>0</v>
      </c>
      <c r="AH6" s="2">
        <v>0</v>
      </c>
      <c r="AI6" s="2">
        <v>800</v>
      </c>
      <c r="AJ6" s="2">
        <v>18.989999999999998</v>
      </c>
      <c r="AK6" s="2">
        <v>18.600000000000001</v>
      </c>
      <c r="AL6" s="2">
        <v>62</v>
      </c>
      <c r="AM6" s="6">
        <v>195.17</v>
      </c>
      <c r="AN6" s="7">
        <v>180.70987654320987</v>
      </c>
      <c r="AO6" s="2">
        <v>0</v>
      </c>
      <c r="AP6" s="6">
        <v>520</v>
      </c>
      <c r="AQ6" s="7">
        <v>1419.7530864197531</v>
      </c>
      <c r="AR6" s="2">
        <v>52.83</v>
      </c>
      <c r="AS6" s="2">
        <v>0</v>
      </c>
      <c r="AT6" s="7">
        <v>1040.1234567901236</v>
      </c>
      <c r="AU6" s="2">
        <v>0</v>
      </c>
      <c r="AV6" s="2">
        <v>0</v>
      </c>
      <c r="AW6" s="2">
        <v>0</v>
      </c>
      <c r="AX6" s="2">
        <v>0</v>
      </c>
      <c r="AY6" s="2">
        <v>700</v>
      </c>
      <c r="AZ6" s="2">
        <v>9.99</v>
      </c>
      <c r="BA6" s="2">
        <v>74758.66</v>
      </c>
      <c r="BB6" s="2">
        <v>1060</v>
      </c>
      <c r="BC6" s="2">
        <v>9380</v>
      </c>
      <c r="BD6" s="2">
        <v>3</v>
      </c>
      <c r="BE6" s="2">
        <v>0.4</v>
      </c>
      <c r="BF6" s="2">
        <v>11298</v>
      </c>
      <c r="BG6" s="2">
        <v>1430</v>
      </c>
      <c r="BH6" s="2">
        <v>0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B6" s="2">
        <v>1</v>
      </c>
      <c r="CC6" s="2">
        <v>1</v>
      </c>
      <c r="CD6" s="2">
        <v>1</v>
      </c>
      <c r="CE6" s="2">
        <v>1</v>
      </c>
      <c r="CF6" s="2">
        <v>1</v>
      </c>
      <c r="CG6" s="2">
        <v>1</v>
      </c>
      <c r="CH6" s="2">
        <v>1</v>
      </c>
      <c r="CI6" s="2">
        <v>1</v>
      </c>
      <c r="CJ6" s="2">
        <v>1</v>
      </c>
      <c r="CK6" s="2">
        <v>1</v>
      </c>
      <c r="CL6" s="2">
        <v>1</v>
      </c>
      <c r="CM6" s="2">
        <v>0</v>
      </c>
      <c r="CN6" s="2">
        <v>54.6</v>
      </c>
      <c r="CO6" s="2">
        <v>112</v>
      </c>
      <c r="CP6" s="2">
        <v>94.6</v>
      </c>
      <c r="CQ6" s="2">
        <v>97.016666666666595</v>
      </c>
      <c r="CR6" s="2">
        <v>103.833333333333</v>
      </c>
      <c r="CS6" s="2">
        <v>73.3</v>
      </c>
      <c r="CT6" s="2">
        <v>74.099999999999994</v>
      </c>
      <c r="CU6" s="2">
        <v>0</v>
      </c>
      <c r="CV6" s="2">
        <v>221</v>
      </c>
      <c r="CW6" s="2">
        <v>69.766666666666595</v>
      </c>
      <c r="CX6" s="2">
        <v>0</v>
      </c>
      <c r="CY6" s="2">
        <v>63.1</v>
      </c>
      <c r="CZ6" s="2">
        <v>0</v>
      </c>
      <c r="DA6" s="2">
        <v>0</v>
      </c>
      <c r="DB6" s="2">
        <v>71.7</v>
      </c>
      <c r="DC6" s="2">
        <v>60.15</v>
      </c>
      <c r="DD6" s="2">
        <v>60.15</v>
      </c>
      <c r="DE6" s="2">
        <v>0</v>
      </c>
      <c r="DF6" s="2">
        <v>0</v>
      </c>
      <c r="DG6" s="2">
        <v>75.349999999999994</v>
      </c>
      <c r="DH6" s="2">
        <v>95.066666666666606</v>
      </c>
      <c r="DI6" s="2">
        <v>0</v>
      </c>
      <c r="DJ6" s="2">
        <v>100.37</v>
      </c>
      <c r="DK6" s="2">
        <v>0</v>
      </c>
      <c r="DL6" s="2">
        <v>3.0000000000000001E-3</v>
      </c>
      <c r="DM6" s="2">
        <v>1E-3</v>
      </c>
      <c r="DN6" s="2">
        <v>1.6E-2</v>
      </c>
      <c r="DO6" s="2">
        <v>1E-3</v>
      </c>
      <c r="DP6" s="2">
        <v>1E-3</v>
      </c>
      <c r="DQ6" s="2">
        <v>1.6666666666666601E-3</v>
      </c>
      <c r="DR6" s="2">
        <v>3.0000000000000001E-3</v>
      </c>
      <c r="DS6" s="2">
        <v>3.0000000000000001E-3</v>
      </c>
      <c r="DT6" s="2">
        <v>0</v>
      </c>
      <c r="DU6" s="2">
        <v>1E-3</v>
      </c>
      <c r="DV6" s="2">
        <v>3.0000000000000001E-3</v>
      </c>
      <c r="DW6" s="2">
        <v>0</v>
      </c>
      <c r="DX6" s="2">
        <v>1E-3</v>
      </c>
      <c r="DY6" s="2">
        <v>0</v>
      </c>
      <c r="DZ6" s="2">
        <v>0</v>
      </c>
      <c r="EA6" s="2">
        <v>3.0000000000000001E-3</v>
      </c>
      <c r="EB6" s="2">
        <v>2E-3</v>
      </c>
      <c r="EC6" s="2">
        <v>2E-3</v>
      </c>
      <c r="ED6" s="2">
        <v>0</v>
      </c>
      <c r="EE6" s="2">
        <v>0</v>
      </c>
      <c r="EF6" s="2">
        <v>1.6500000000000001E-2</v>
      </c>
      <c r="EG6" s="2">
        <v>1E-3</v>
      </c>
      <c r="EH6" s="2">
        <v>0</v>
      </c>
      <c r="EI6" s="2">
        <v>2.79</v>
      </c>
      <c r="EJ6" s="2">
        <v>0</v>
      </c>
      <c r="EK6" s="2">
        <v>5.9999999999999995E-4</v>
      </c>
      <c r="EL6" s="2">
        <v>1E-4</v>
      </c>
      <c r="EM6" s="2">
        <v>2.875E-3</v>
      </c>
      <c r="EN6" s="2">
        <v>1.5E-3</v>
      </c>
      <c r="EO6" s="2">
        <v>1.5E-3</v>
      </c>
      <c r="EP6" s="2">
        <v>7.3333333333333302E-4</v>
      </c>
      <c r="EQ6" s="2">
        <v>5.9999999999999995E-4</v>
      </c>
      <c r="ER6" s="2">
        <v>5.9999999999999995E-4</v>
      </c>
      <c r="ES6" s="2">
        <v>0</v>
      </c>
      <c r="ET6" s="2">
        <v>1E-4</v>
      </c>
      <c r="EU6" s="2">
        <v>5.9999999999999995E-4</v>
      </c>
      <c r="EV6" s="2">
        <v>0</v>
      </c>
      <c r="EW6" s="2">
        <v>1E-4</v>
      </c>
      <c r="EX6" s="2">
        <v>0</v>
      </c>
      <c r="EY6" s="2">
        <v>0</v>
      </c>
      <c r="EZ6" s="2">
        <v>5.9999999999999995E-4</v>
      </c>
      <c r="FA6" s="2">
        <v>3.5E-4</v>
      </c>
      <c r="FB6" s="2">
        <v>3.5E-4</v>
      </c>
      <c r="FC6" s="2">
        <v>0</v>
      </c>
      <c r="FD6" s="2">
        <v>0</v>
      </c>
      <c r="FE6" s="2">
        <v>2.3E-3</v>
      </c>
      <c r="FF6" s="2">
        <v>1.5E-3</v>
      </c>
      <c r="FG6" s="2">
        <v>0</v>
      </c>
      <c r="FH6" s="2">
        <v>9.5899999999999996E-3</v>
      </c>
      <c r="FI6" s="2">
        <v>0</v>
      </c>
      <c r="FJ6" s="8">
        <v>1.6583123951776999E-6</v>
      </c>
      <c r="FK6" s="8">
        <v>8.4498520697110406E-8</v>
      </c>
      <c r="FL6" s="8">
        <v>2.4E-8</v>
      </c>
      <c r="FM6" s="2">
        <v>1.4105270168067501E-4</v>
      </c>
      <c r="FN6" s="8">
        <v>3.23821170194798E-9</v>
      </c>
      <c r="FO6" s="8">
        <v>2.46779253585061E-5</v>
      </c>
      <c r="FP6" s="2">
        <v>5.1415182085719699E-2</v>
      </c>
      <c r="FQ6" s="8">
        <v>4.89277622940513E-6</v>
      </c>
      <c r="FR6" s="2">
        <v>3.99749921826133E-2</v>
      </c>
      <c r="FS6" s="8">
        <v>6.3213623094501506E-11</v>
      </c>
      <c r="FT6" s="8">
        <v>6.3213922517116401E-7</v>
      </c>
      <c r="FU6" s="8">
        <v>2.6021139604446299E-9</v>
      </c>
      <c r="FV6" s="2">
        <v>6.2529992803453897E-3</v>
      </c>
      <c r="FW6" s="2">
        <v>0</v>
      </c>
      <c r="FX6" s="8">
        <v>3.2490625588560901E-6</v>
      </c>
      <c r="FY6" s="2">
        <v>9.2441948549119596E-3</v>
      </c>
      <c r="FZ6" s="2">
        <v>0</v>
      </c>
      <c r="GA6" s="8">
        <v>6.1712669934061603E-5</v>
      </c>
      <c r="GB6" s="2">
        <v>1.02490704319759E-2</v>
      </c>
      <c r="GC6" s="8">
        <v>6.8E-8</v>
      </c>
      <c r="GD6" s="8">
        <v>5.4211433772233295E-7</v>
      </c>
      <c r="GE6" s="2">
        <v>1.40263261984831E-2</v>
      </c>
      <c r="GF6" s="2">
        <v>1.52432705551728E-2</v>
      </c>
      <c r="GG6" s="2">
        <v>1.02176318195558E-2</v>
      </c>
      <c r="GH6" s="2">
        <v>5.1633091233467803E-3</v>
      </c>
      <c r="GI6" s="2">
        <v>2.1213203435596398E-3</v>
      </c>
      <c r="GJ6" s="2">
        <v>0</v>
      </c>
      <c r="GK6" s="2">
        <v>1.87616630392937E-3</v>
      </c>
      <c r="GL6" s="8">
        <v>6.4583997501198804E-7</v>
      </c>
      <c r="GM6" s="8">
        <v>1.52E-5</v>
      </c>
      <c r="GN6" s="8">
        <v>6.2528652183015504E-9</v>
      </c>
      <c r="GO6" s="8">
        <v>1.395E-6</v>
      </c>
      <c r="GP6" s="2">
        <v>0</v>
      </c>
      <c r="GQ6" s="8">
        <v>1.82429989565185E-8</v>
      </c>
      <c r="GR6" s="2">
        <v>1.5200000000000001E-4</v>
      </c>
      <c r="GS6" s="2">
        <v>1</v>
      </c>
      <c r="GT6" s="2">
        <v>0</v>
      </c>
      <c r="GU6" s="8">
        <v>8.0000000000000007E-5</v>
      </c>
      <c r="GV6" s="8">
        <v>8.0000000000000007E-5</v>
      </c>
      <c r="GW6" s="2">
        <v>1</v>
      </c>
      <c r="GX6" s="2">
        <v>0</v>
      </c>
      <c r="GY6" s="2">
        <v>1</v>
      </c>
      <c r="GZ6" s="2">
        <v>1</v>
      </c>
      <c r="HA6" s="2">
        <v>0</v>
      </c>
      <c r="HB6" s="2">
        <v>0</v>
      </c>
      <c r="HC6" s="8">
        <v>2.0000000000000002E-5</v>
      </c>
      <c r="HD6" s="2">
        <v>1</v>
      </c>
      <c r="HE6" s="2">
        <v>1</v>
      </c>
      <c r="HF6" s="2">
        <v>1</v>
      </c>
      <c r="HG6" s="2">
        <v>1</v>
      </c>
      <c r="HH6" s="2">
        <v>1</v>
      </c>
      <c r="HI6" s="2">
        <v>1</v>
      </c>
      <c r="HJ6" s="2">
        <v>0</v>
      </c>
      <c r="HK6" s="2">
        <v>1</v>
      </c>
      <c r="HL6" s="2">
        <v>0</v>
      </c>
      <c r="HM6" s="8">
        <v>1.9999999999999999E-6</v>
      </c>
      <c r="HN6" s="8">
        <v>4.0000000000000001E-8</v>
      </c>
      <c r="HO6" s="2">
        <v>1</v>
      </c>
      <c r="HP6" s="2">
        <v>0</v>
      </c>
      <c r="HQ6" s="2">
        <v>0</v>
      </c>
      <c r="HR6" s="8">
        <v>5.9999999999999997E-7</v>
      </c>
      <c r="HS6" s="2">
        <v>1</v>
      </c>
      <c r="HT6" s="2">
        <v>1</v>
      </c>
      <c r="HU6" s="2">
        <v>0</v>
      </c>
      <c r="HV6" s="2">
        <v>0</v>
      </c>
      <c r="HW6" s="8">
        <v>7.9999999999999996E-6</v>
      </c>
      <c r="HX6" s="2">
        <v>1</v>
      </c>
      <c r="HY6" s="2">
        <v>0</v>
      </c>
      <c r="HZ6" s="2">
        <v>2.0000000000000001E-4</v>
      </c>
      <c r="IA6" s="2">
        <v>0</v>
      </c>
      <c r="IB6" s="2">
        <v>1</v>
      </c>
      <c r="IC6" s="2">
        <v>0</v>
      </c>
      <c r="ID6" s="8">
        <v>1.9999999999999999E-6</v>
      </c>
      <c r="IE6" s="2">
        <v>0</v>
      </c>
      <c r="IF6" s="2">
        <v>0</v>
      </c>
      <c r="IG6" s="2">
        <v>0</v>
      </c>
      <c r="IH6" s="2">
        <v>1</v>
      </c>
      <c r="II6" s="2">
        <v>1</v>
      </c>
      <c r="IJ6" s="2">
        <v>0</v>
      </c>
      <c r="IK6" s="2">
        <v>0</v>
      </c>
      <c r="IL6" s="2">
        <v>1.16E-3</v>
      </c>
      <c r="IM6" s="2">
        <v>1.7357142857142799E-4</v>
      </c>
      <c r="IN6" s="2">
        <v>3.9654299999999998E-3</v>
      </c>
      <c r="IO6" s="2">
        <v>1</v>
      </c>
      <c r="IP6" s="2">
        <v>1</v>
      </c>
      <c r="IQ6" s="2">
        <v>0</v>
      </c>
      <c r="IR6" s="2">
        <v>0</v>
      </c>
      <c r="IS6" s="2">
        <v>1</v>
      </c>
      <c r="IT6" s="2">
        <v>1</v>
      </c>
      <c r="IU6" s="2">
        <v>3.0000000000000001E-3</v>
      </c>
      <c r="IV6" s="8">
        <v>3.0000000000000001E-5</v>
      </c>
      <c r="IW6" s="2">
        <v>3.15</v>
      </c>
      <c r="IX6" s="2">
        <v>3.08</v>
      </c>
      <c r="IY6" s="2">
        <v>0.52</v>
      </c>
      <c r="IZ6" s="2">
        <v>0.848907407407407</v>
      </c>
      <c r="JA6" s="2">
        <v>0.2</v>
      </c>
      <c r="JB6" s="2">
        <v>0.75</v>
      </c>
      <c r="JC6" s="2">
        <v>1.8667380952380901</v>
      </c>
      <c r="JD6" s="2">
        <v>1.43807229</v>
      </c>
      <c r="JE6" s="2">
        <v>1</v>
      </c>
      <c r="JF6" s="2">
        <v>3.7409999999999999E-2</v>
      </c>
      <c r="JG6" s="2">
        <v>6.9999999999999999E-4</v>
      </c>
      <c r="JH6" s="2">
        <v>0</v>
      </c>
      <c r="JI6" s="2">
        <v>1E-4</v>
      </c>
      <c r="JJ6" s="2">
        <v>1</v>
      </c>
      <c r="JK6" s="8">
        <v>6.0000000000000002E-6</v>
      </c>
      <c r="JL6" s="8">
        <v>6.0000000000000002E-6</v>
      </c>
      <c r="JM6" s="8">
        <v>6.0000000000000002E-6</v>
      </c>
      <c r="JN6" s="2">
        <v>0.5</v>
      </c>
      <c r="JO6" s="2">
        <v>2</v>
      </c>
      <c r="JP6" s="2">
        <v>13.315</v>
      </c>
      <c r="JQ6" s="2">
        <v>3.71</v>
      </c>
      <c r="JR6" s="2">
        <v>77</v>
      </c>
      <c r="JS6" s="2">
        <v>3.9</v>
      </c>
      <c r="JT6" s="2">
        <v>20.6</v>
      </c>
      <c r="JU6" s="2">
        <v>62</v>
      </c>
      <c r="JV6" s="2">
        <v>350</v>
      </c>
      <c r="JW6" s="2">
        <v>41</v>
      </c>
      <c r="JX6" s="2">
        <v>3.9</v>
      </c>
      <c r="JY6" s="2">
        <v>5.6</v>
      </c>
      <c r="JZ6" s="2">
        <v>0.2</v>
      </c>
      <c r="KA6" s="2">
        <v>3</v>
      </c>
      <c r="KB6" s="2">
        <v>4.1500000000000004</v>
      </c>
      <c r="KC6" s="2">
        <v>350</v>
      </c>
      <c r="KD6" s="2">
        <v>28.6</v>
      </c>
      <c r="KE6" s="2">
        <v>3</v>
      </c>
      <c r="KF6" s="2">
        <v>4.1500000000000004</v>
      </c>
      <c r="KG6" s="2">
        <v>350</v>
      </c>
      <c r="KH6" s="2">
        <v>28.6</v>
      </c>
      <c r="KI6" s="2">
        <v>3</v>
      </c>
      <c r="KJ6" s="2">
        <v>77</v>
      </c>
      <c r="KK6" s="2">
        <v>3.9</v>
      </c>
      <c r="KL6" s="2">
        <v>20.6</v>
      </c>
      <c r="KM6" s="2">
        <v>62</v>
      </c>
      <c r="KN6" s="2">
        <v>350</v>
      </c>
      <c r="KO6" s="2">
        <v>41</v>
      </c>
      <c r="KP6" s="2">
        <v>3.9</v>
      </c>
      <c r="KQ6" s="2">
        <v>5.6</v>
      </c>
      <c r="KR6" s="2">
        <v>0.2</v>
      </c>
      <c r="KS6" s="2">
        <v>3</v>
      </c>
      <c r="KT6" s="2">
        <v>77</v>
      </c>
      <c r="KU6" s="2">
        <v>3.9</v>
      </c>
      <c r="KV6" s="2">
        <v>20.6</v>
      </c>
      <c r="KW6" s="2">
        <v>62</v>
      </c>
      <c r="KX6" s="2">
        <v>350</v>
      </c>
      <c r="KY6" s="2">
        <v>41</v>
      </c>
      <c r="KZ6" s="2">
        <v>3.9</v>
      </c>
      <c r="LA6" s="2">
        <v>5.6</v>
      </c>
      <c r="LB6" s="2">
        <v>0.2</v>
      </c>
      <c r="LC6" s="2">
        <v>3</v>
      </c>
      <c r="LD6" s="2">
        <v>18</v>
      </c>
      <c r="LE6" s="2">
        <v>3.9</v>
      </c>
      <c r="LF6" s="2">
        <v>20.6</v>
      </c>
      <c r="LG6" s="2">
        <v>62</v>
      </c>
      <c r="LH6" s="2">
        <v>41</v>
      </c>
      <c r="LI6" s="2">
        <v>3.9</v>
      </c>
      <c r="LJ6" s="2">
        <v>5.6</v>
      </c>
      <c r="LK6" s="2">
        <v>0.2</v>
      </c>
      <c r="LL6" s="2">
        <v>7</v>
      </c>
      <c r="LM6" s="2">
        <v>350</v>
      </c>
      <c r="LN6" s="2">
        <v>2</v>
      </c>
      <c r="LO6" s="2">
        <v>3</v>
      </c>
      <c r="LP6" s="2">
        <v>0.95</v>
      </c>
      <c r="LQ6" s="2">
        <v>0.8</v>
      </c>
      <c r="LR6" s="2">
        <v>0.8</v>
      </c>
      <c r="LS6" s="2">
        <v>0.6</v>
      </c>
      <c r="LT6" s="2">
        <v>0.78</v>
      </c>
      <c r="LU6" s="2">
        <v>0.6</v>
      </c>
      <c r="LV6" s="2">
        <v>0.82</v>
      </c>
      <c r="LW6" s="2">
        <v>3.2</v>
      </c>
      <c r="LX6" s="2">
        <v>0.8</v>
      </c>
      <c r="LY6" s="2">
        <v>0.85</v>
      </c>
      <c r="LZ6" s="2">
        <v>0.75</v>
      </c>
      <c r="MA6" s="2">
        <v>0.8</v>
      </c>
      <c r="MB6" s="2">
        <v>0.8</v>
      </c>
      <c r="MC6" s="2">
        <v>0.8</v>
      </c>
      <c r="MD6" s="2">
        <v>0.82</v>
      </c>
      <c r="ME6" s="2">
        <v>0.2</v>
      </c>
      <c r="MF6" s="2">
        <v>0.33500000000000002</v>
      </c>
      <c r="MG6" s="2">
        <v>0.14000000000000001</v>
      </c>
      <c r="MH6" s="2">
        <v>0.45</v>
      </c>
      <c r="MI6" s="2">
        <v>0.45</v>
      </c>
      <c r="MJ6" s="2">
        <v>0.4</v>
      </c>
      <c r="MK6" s="2">
        <v>0.4</v>
      </c>
      <c r="ML6" s="2">
        <v>1</v>
      </c>
      <c r="MM6" s="2">
        <v>0.85499999999999998</v>
      </c>
      <c r="MN6" s="2">
        <v>2.7000000000000001E-3</v>
      </c>
      <c r="MO6" s="2">
        <v>1</v>
      </c>
      <c r="MP6" s="2">
        <v>0.22</v>
      </c>
      <c r="MQ6" s="2">
        <v>0.23</v>
      </c>
      <c r="MR6" s="2">
        <v>0.22</v>
      </c>
      <c r="MS6" s="2">
        <v>0.4</v>
      </c>
      <c r="MT6" s="2">
        <v>0.8</v>
      </c>
      <c r="MU6" s="2">
        <v>0.75</v>
      </c>
      <c r="MV6" s="2">
        <v>0.85</v>
      </c>
      <c r="MW6" s="2">
        <v>0.75</v>
      </c>
      <c r="MX6" s="2">
        <v>0.6</v>
      </c>
      <c r="MY6" s="2">
        <v>0.82</v>
      </c>
      <c r="MZ6" s="2">
        <v>0.98</v>
      </c>
      <c r="NA6" s="2">
        <v>0.75</v>
      </c>
      <c r="NB6" s="2">
        <v>0.75</v>
      </c>
      <c r="NC6" s="2">
        <v>0.8</v>
      </c>
      <c r="ND6" s="2">
        <v>0.82</v>
      </c>
      <c r="NE6" s="2">
        <v>0.8</v>
      </c>
      <c r="NF6" s="2">
        <v>0.7</v>
      </c>
      <c r="NG6" s="2">
        <v>0.6</v>
      </c>
      <c r="NH6" s="2">
        <v>0.75</v>
      </c>
      <c r="NI6" s="2">
        <v>2.4</v>
      </c>
      <c r="NJ6" s="2">
        <v>0.75</v>
      </c>
      <c r="NK6" s="2">
        <v>0.75</v>
      </c>
      <c r="NL6" s="2">
        <v>0.8</v>
      </c>
      <c r="NM6" s="2">
        <v>0.75</v>
      </c>
      <c r="NN6" s="2">
        <v>0.8</v>
      </c>
      <c r="NO6" s="2">
        <v>0.64</v>
      </c>
      <c r="NP6" s="2">
        <v>0.6</v>
      </c>
      <c r="NQ6" s="2">
        <v>0.75</v>
      </c>
      <c r="NR6" s="2">
        <v>3.2</v>
      </c>
      <c r="NS6" s="2">
        <v>0.75</v>
      </c>
      <c r="NT6" s="2">
        <v>0.75</v>
      </c>
      <c r="NU6" s="2">
        <v>0.8</v>
      </c>
      <c r="NV6" s="2">
        <v>0.6</v>
      </c>
      <c r="NW6" s="2">
        <v>0.8</v>
      </c>
      <c r="NX6" s="2">
        <v>0.1</v>
      </c>
      <c r="NY6" s="2">
        <v>-0.1</v>
      </c>
      <c r="NZ6" s="2">
        <v>5.6947487651181003E-2</v>
      </c>
      <c r="OA6" s="2">
        <v>0.10992772880223101</v>
      </c>
      <c r="OB6" s="2">
        <v>4.6761620588165603E-2</v>
      </c>
      <c r="OC6" s="2">
        <v>4.0684381814701499E-2</v>
      </c>
      <c r="OD6" s="2">
        <v>2.40312533986499E-2</v>
      </c>
      <c r="OE6" s="2">
        <v>4.6135174793806397E-2</v>
      </c>
      <c r="OF6" s="2">
        <v>0.5</v>
      </c>
      <c r="OG6" s="2">
        <v>0.10516377160535401</v>
      </c>
      <c r="OH6" s="2">
        <v>5.5121623013395203E-2</v>
      </c>
      <c r="OI6" s="2">
        <v>0.01</v>
      </c>
      <c r="OJ6" s="2">
        <v>0.01</v>
      </c>
      <c r="OK6" s="2">
        <v>0.01</v>
      </c>
      <c r="OL6" s="2">
        <v>0.01</v>
      </c>
      <c r="OM6" s="2">
        <v>1.33281107617239E-2</v>
      </c>
      <c r="ON6" s="2">
        <v>1.4462371521999501E-2</v>
      </c>
      <c r="OO6" s="2">
        <v>0.5</v>
      </c>
      <c r="OP6" s="2">
        <v>0.1</v>
      </c>
      <c r="OQ6" s="2">
        <v>0.1</v>
      </c>
      <c r="OR6" s="2">
        <v>0.15</v>
      </c>
      <c r="OS6" s="2">
        <v>0.04</v>
      </c>
      <c r="OT6" s="2">
        <v>0.1</v>
      </c>
      <c r="OU6" s="2">
        <v>0.04</v>
      </c>
      <c r="OV6" s="2">
        <v>1</v>
      </c>
      <c r="OW6" s="2">
        <v>0.14000000000000001</v>
      </c>
      <c r="OX6" s="2">
        <v>0.3</v>
      </c>
      <c r="OY6" s="2">
        <v>0.13300000000000001</v>
      </c>
      <c r="OZ6" s="2">
        <v>50</v>
      </c>
      <c r="PA6" s="2">
        <v>1.3376999999999999</v>
      </c>
      <c r="PB6" s="2">
        <v>1.3368169646517301E-2</v>
      </c>
      <c r="PC6" s="2">
        <v>6.1813186813186802E-2</v>
      </c>
      <c r="PD6" s="2">
        <v>0.95550000000000002</v>
      </c>
      <c r="PE6" s="2">
        <v>0</v>
      </c>
      <c r="PF6" s="2">
        <v>5</v>
      </c>
      <c r="PG6" s="2">
        <v>2.4500000000000001E-2</v>
      </c>
      <c r="PH6" s="2">
        <v>1</v>
      </c>
      <c r="PI6" s="2">
        <v>8</v>
      </c>
      <c r="PJ6" s="2">
        <v>28.95</v>
      </c>
      <c r="PK6" s="2">
        <v>2.8000000000000001E-2</v>
      </c>
      <c r="PL6" s="2">
        <v>3.9</v>
      </c>
      <c r="PM6" s="2">
        <v>22.5</v>
      </c>
      <c r="PN6" s="2">
        <v>22.96</v>
      </c>
      <c r="PO6" s="2">
        <v>38</v>
      </c>
      <c r="PP6" s="2">
        <v>36.4</v>
      </c>
      <c r="PQ6" s="2">
        <v>3.5000000000000001E-3</v>
      </c>
      <c r="PR6" s="2">
        <v>35</v>
      </c>
      <c r="PS6" s="2">
        <v>3.8300000000000001E-2</v>
      </c>
      <c r="PT6" s="2">
        <v>8</v>
      </c>
      <c r="PU6" s="2">
        <v>32</v>
      </c>
      <c r="PV6" s="2">
        <v>3.8300000000000001E-2</v>
      </c>
      <c r="PW6" s="2">
        <v>38</v>
      </c>
      <c r="PX6" s="2">
        <v>30.58</v>
      </c>
      <c r="PY6" s="2">
        <v>13</v>
      </c>
      <c r="PZ6" s="2">
        <v>23.64</v>
      </c>
      <c r="QA6" s="2">
        <v>26.28</v>
      </c>
      <c r="QB6" s="5">
        <v>48</v>
      </c>
      <c r="QC6" s="2">
        <v>130.739</v>
      </c>
      <c r="QD6" s="2">
        <v>79810000</v>
      </c>
      <c r="QE6" s="2">
        <v>8</v>
      </c>
      <c r="QF6" s="2">
        <v>3</v>
      </c>
      <c r="QG6" s="2">
        <v>2</v>
      </c>
      <c r="QH6" s="2">
        <v>2</v>
      </c>
      <c r="QI6" s="2">
        <v>1</v>
      </c>
      <c r="QJ6" s="2">
        <v>0.5</v>
      </c>
      <c r="QK6" s="2">
        <v>0.25</v>
      </c>
      <c r="QL6" s="2">
        <v>0.5</v>
      </c>
      <c r="QM6" s="2">
        <v>1</v>
      </c>
      <c r="QN6" s="2">
        <v>0.5</v>
      </c>
      <c r="QO6" s="2">
        <v>0.2</v>
      </c>
      <c r="QP6" s="2">
        <v>0.2</v>
      </c>
      <c r="QQ6" s="2">
        <v>0.8</v>
      </c>
      <c r="QR6" s="2">
        <v>1.18527760449157E-2</v>
      </c>
      <c r="QS6" s="2">
        <v>9.9812850904553892E-3</v>
      </c>
      <c r="QT6" s="2">
        <v>0.97816593886462799</v>
      </c>
      <c r="QU6" s="2">
        <v>0.19</v>
      </c>
      <c r="QV6" s="2">
        <v>0.13700000000000001</v>
      </c>
      <c r="QW6" s="2">
        <v>0.30299999999999999</v>
      </c>
      <c r="QX6" s="2">
        <v>0</v>
      </c>
      <c r="QY6" s="2">
        <v>0.216</v>
      </c>
      <c r="QZ6" s="2">
        <v>0.1</v>
      </c>
      <c r="RA6" s="2">
        <v>2.5000000000000001E-2</v>
      </c>
      <c r="RB6" s="2">
        <v>0.05</v>
      </c>
      <c r="RC6" s="2">
        <v>0.2</v>
      </c>
      <c r="RD6" s="2">
        <v>0.04</v>
      </c>
      <c r="RE6" s="2">
        <v>0</v>
      </c>
      <c r="RF6" s="2">
        <v>0</v>
      </c>
      <c r="RG6" s="2">
        <v>7.4999999999999997E-2</v>
      </c>
      <c r="RH6" s="2">
        <v>-999</v>
      </c>
      <c r="RI6" s="2">
        <v>-999</v>
      </c>
      <c r="RJ6" s="2">
        <v>-999</v>
      </c>
      <c r="RK6" s="2">
        <v>-999</v>
      </c>
      <c r="RL6" s="2">
        <v>-999</v>
      </c>
      <c r="RM6" s="2">
        <v>-999</v>
      </c>
      <c r="RN6" s="2">
        <v>-999</v>
      </c>
      <c r="RO6" s="2">
        <v>-999</v>
      </c>
      <c r="RP6" s="2">
        <v>-999</v>
      </c>
      <c r="RQ6" s="2">
        <v>-999</v>
      </c>
      <c r="RR6" s="2">
        <v>-999</v>
      </c>
      <c r="RS6" s="2">
        <v>-999</v>
      </c>
      <c r="RT6" s="2">
        <v>-999</v>
      </c>
      <c r="RU6" s="2">
        <v>-999</v>
      </c>
      <c r="RV6" s="2">
        <v>8.6999999999999994E-2</v>
      </c>
      <c r="RW6" s="2">
        <v>8.6999999999999994E-2</v>
      </c>
      <c r="RX6" s="2">
        <v>0</v>
      </c>
      <c r="RY6" s="2">
        <v>1</v>
      </c>
      <c r="RZ6" s="2">
        <v>0</v>
      </c>
      <c r="SA6" s="2">
        <v>0</v>
      </c>
      <c r="SB6" s="2">
        <v>0.31</v>
      </c>
      <c r="SC6" s="2">
        <v>0.03</v>
      </c>
      <c r="SD6" s="2">
        <v>0</v>
      </c>
      <c r="SE6" s="2">
        <v>0.31</v>
      </c>
      <c r="SF6" s="2">
        <v>0</v>
      </c>
      <c r="SG6" s="2">
        <v>0</v>
      </c>
      <c r="SH6" s="2">
        <v>0.32</v>
      </c>
      <c r="SI6" s="2">
        <v>0</v>
      </c>
      <c r="SJ6" s="2">
        <v>0</v>
      </c>
      <c r="SK6" s="2">
        <v>0.03</v>
      </c>
      <c r="SL6" s="2">
        <v>0</v>
      </c>
      <c r="SM6" s="2">
        <v>0.67</v>
      </c>
      <c r="SN6" s="2">
        <v>0</v>
      </c>
      <c r="SO6" s="2">
        <v>0.01</v>
      </c>
      <c r="SP6" s="2">
        <v>0.3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0.02</v>
      </c>
      <c r="SY6" s="2">
        <v>0</v>
      </c>
      <c r="SZ6" s="2">
        <v>0</v>
      </c>
      <c r="TA6" s="2">
        <v>0</v>
      </c>
      <c r="TB6" s="2">
        <v>0.01</v>
      </c>
      <c r="TC6" s="2">
        <v>0.38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0.6</v>
      </c>
      <c r="TK6" s="2">
        <v>0.01</v>
      </c>
      <c r="TL6" s="2">
        <v>0</v>
      </c>
      <c r="TM6" s="2">
        <v>0</v>
      </c>
      <c r="TN6" s="2">
        <v>0</v>
      </c>
      <c r="TO6" s="2">
        <v>0.11</v>
      </c>
      <c r="TP6" s="2">
        <v>0.88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0.01</v>
      </c>
      <c r="TY6" s="2">
        <v>0</v>
      </c>
      <c r="TZ6" s="2">
        <v>0</v>
      </c>
      <c r="UA6" s="2">
        <v>0</v>
      </c>
      <c r="UB6" s="2">
        <v>0.01</v>
      </c>
      <c r="UC6" s="2">
        <v>0.22900000000000001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0.76</v>
      </c>
      <c r="UK6" s="2">
        <v>1E-3</v>
      </c>
      <c r="UL6" s="2">
        <v>0</v>
      </c>
      <c r="UM6" s="2">
        <v>0</v>
      </c>
      <c r="UN6" s="2">
        <v>0</v>
      </c>
      <c r="UO6" s="2">
        <v>0</v>
      </c>
      <c r="UP6" s="2">
        <v>0.23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7.0000000000000007E-2</v>
      </c>
      <c r="UY6" s="2">
        <v>0.7</v>
      </c>
      <c r="UZ6" s="2">
        <v>0</v>
      </c>
      <c r="VA6" s="2">
        <v>0</v>
      </c>
      <c r="VB6" s="2">
        <v>0.11899999999999999</v>
      </c>
      <c r="VC6" s="2">
        <v>0.73</v>
      </c>
      <c r="VE6" s="2">
        <v>0</v>
      </c>
      <c r="VF6" s="2">
        <v>0</v>
      </c>
      <c r="VG6" s="2">
        <v>0</v>
      </c>
      <c r="VH6" s="2">
        <v>0</v>
      </c>
      <c r="VJ6" s="2">
        <v>0.15</v>
      </c>
      <c r="VK6" s="2">
        <v>1E-3</v>
      </c>
      <c r="VL6" s="2">
        <v>0</v>
      </c>
      <c r="VM6" s="2">
        <v>0</v>
      </c>
      <c r="VN6" s="2">
        <v>0</v>
      </c>
      <c r="VO6" s="2">
        <v>0.21</v>
      </c>
      <c r="VP6" s="2">
        <v>0.78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X6" s="2">
        <v>0</v>
      </c>
      <c r="VY6" s="2">
        <v>0.01</v>
      </c>
      <c r="VZ6" s="2">
        <v>0</v>
      </c>
      <c r="WA6" s="2">
        <v>0</v>
      </c>
      <c r="WB6" s="2">
        <v>0</v>
      </c>
      <c r="WC6" s="2">
        <v>0.05</v>
      </c>
      <c r="WD6" s="2">
        <v>0.11</v>
      </c>
      <c r="WE6" s="2">
        <v>0</v>
      </c>
      <c r="WF6" s="2">
        <v>0</v>
      </c>
      <c r="WG6" s="2">
        <v>0</v>
      </c>
      <c r="WH6" s="2">
        <v>0</v>
      </c>
      <c r="WI6" s="2">
        <v>0</v>
      </c>
      <c r="WJ6" s="2">
        <v>0</v>
      </c>
      <c r="WK6" s="2">
        <v>0</v>
      </c>
      <c r="WL6" s="2">
        <v>1E-3</v>
      </c>
      <c r="WM6" s="2">
        <v>0.83899999999999997</v>
      </c>
      <c r="WN6" s="2">
        <v>0</v>
      </c>
      <c r="WO6" s="2">
        <v>0</v>
      </c>
      <c r="WP6" s="2">
        <v>0</v>
      </c>
      <c r="WQ6" s="2">
        <v>0.26</v>
      </c>
      <c r="WR6" s="2">
        <v>0</v>
      </c>
      <c r="WS6" s="2">
        <v>0</v>
      </c>
      <c r="WT6" s="2">
        <v>0</v>
      </c>
      <c r="WU6" s="2">
        <v>0</v>
      </c>
      <c r="WV6" s="2">
        <v>0</v>
      </c>
      <c r="WW6" s="2">
        <v>0</v>
      </c>
      <c r="WX6" s="2">
        <v>0</v>
      </c>
      <c r="WY6" s="2">
        <v>0.01</v>
      </c>
      <c r="WZ6" s="2">
        <v>0.73</v>
      </c>
      <c r="XA6" s="2">
        <v>0</v>
      </c>
      <c r="XB6" s="2">
        <v>0</v>
      </c>
      <c r="XC6" s="2">
        <v>0</v>
      </c>
      <c r="XD6" s="2">
        <v>0.44</v>
      </c>
      <c r="XE6" s="2">
        <v>0</v>
      </c>
      <c r="XF6" s="2">
        <v>0</v>
      </c>
      <c r="XG6" s="2">
        <v>0</v>
      </c>
      <c r="XH6" s="2">
        <v>0</v>
      </c>
      <c r="XI6" s="2">
        <v>0</v>
      </c>
      <c r="XJ6" s="2">
        <v>0</v>
      </c>
      <c r="XK6" s="2">
        <v>0.4</v>
      </c>
      <c r="XL6" s="2">
        <v>0.01</v>
      </c>
      <c r="XM6" s="2">
        <v>0.15</v>
      </c>
      <c r="XN6" s="2">
        <v>0</v>
      </c>
      <c r="XO6" s="2">
        <v>0</v>
      </c>
      <c r="XP6" s="2">
        <v>0</v>
      </c>
      <c r="XQ6" s="2">
        <v>0.2</v>
      </c>
      <c r="XR6" s="2">
        <v>0</v>
      </c>
      <c r="XS6" s="2">
        <v>0</v>
      </c>
      <c r="XT6" s="2">
        <v>0</v>
      </c>
      <c r="XU6" s="2">
        <v>0</v>
      </c>
      <c r="XV6" s="2">
        <v>0</v>
      </c>
      <c r="XW6" s="2">
        <v>0.1</v>
      </c>
      <c r="XX6" s="2">
        <v>0.63</v>
      </c>
      <c r="XY6" s="2">
        <v>7.0000000000000007E-2</v>
      </c>
      <c r="XZ6" s="2">
        <v>0</v>
      </c>
      <c r="YA6" s="2">
        <v>0</v>
      </c>
      <c r="YB6" s="2">
        <v>0</v>
      </c>
      <c r="YC6" s="2">
        <v>0.11899999999999999</v>
      </c>
      <c r="YD6" s="2">
        <v>0.73</v>
      </c>
      <c r="YF6" s="2">
        <v>0</v>
      </c>
      <c r="YG6" s="2">
        <v>0</v>
      </c>
      <c r="YH6" s="2">
        <v>0</v>
      </c>
      <c r="YI6" s="2">
        <v>0</v>
      </c>
      <c r="YK6" s="2">
        <v>0.15</v>
      </c>
      <c r="YL6" s="2">
        <v>1E-3</v>
      </c>
      <c r="YM6" s="2">
        <v>0</v>
      </c>
      <c r="YN6" s="2">
        <v>0</v>
      </c>
      <c r="YO6" s="2">
        <v>0</v>
      </c>
      <c r="YP6" s="2">
        <v>0</v>
      </c>
      <c r="YQ6" s="2">
        <v>0.26</v>
      </c>
      <c r="YR6" s="2">
        <v>0</v>
      </c>
      <c r="YS6" s="2">
        <v>0</v>
      </c>
      <c r="YT6" s="2">
        <v>0</v>
      </c>
      <c r="YU6" s="2">
        <v>0</v>
      </c>
      <c r="YV6" s="2">
        <v>0</v>
      </c>
      <c r="YW6" s="2">
        <v>0</v>
      </c>
      <c r="YX6" s="2">
        <v>0</v>
      </c>
      <c r="YY6" s="2">
        <v>0.01</v>
      </c>
      <c r="YZ6" s="2">
        <v>0.73</v>
      </c>
      <c r="ZA6" s="2">
        <v>0</v>
      </c>
      <c r="ZB6" s="2">
        <v>0</v>
      </c>
      <c r="ZC6" s="2">
        <v>0</v>
      </c>
      <c r="ZD6" s="2">
        <v>0.44</v>
      </c>
      <c r="ZE6" s="2">
        <v>0</v>
      </c>
      <c r="ZF6" s="2">
        <v>0</v>
      </c>
      <c r="ZG6" s="2">
        <v>0</v>
      </c>
      <c r="ZH6" s="2">
        <v>0</v>
      </c>
      <c r="ZI6" s="2">
        <v>0</v>
      </c>
      <c r="ZJ6" s="2">
        <v>0</v>
      </c>
      <c r="ZK6" s="2">
        <v>0.4</v>
      </c>
      <c r="ZL6" s="2">
        <v>0.01</v>
      </c>
      <c r="ZM6" s="2">
        <v>0.15</v>
      </c>
      <c r="ZN6" s="2">
        <v>0</v>
      </c>
      <c r="ZO6" s="2">
        <v>0</v>
      </c>
      <c r="ZP6" s="2">
        <v>0.01</v>
      </c>
      <c r="ZQ6" s="2">
        <v>0.45</v>
      </c>
      <c r="ZR6" s="2">
        <v>0</v>
      </c>
      <c r="ZS6" s="2">
        <v>0</v>
      </c>
      <c r="ZT6" s="2">
        <v>0</v>
      </c>
      <c r="ZU6" s="2">
        <v>0</v>
      </c>
      <c r="ZV6" s="2">
        <v>0</v>
      </c>
      <c r="ZW6" s="2">
        <v>0</v>
      </c>
      <c r="ZX6" s="2">
        <v>0.14000000000000001</v>
      </c>
      <c r="ZY6" s="2">
        <v>1.6E-2</v>
      </c>
      <c r="ZZ6" s="2">
        <v>0.38400000000000001</v>
      </c>
      <c r="AAA6" s="2">
        <v>0.1</v>
      </c>
      <c r="AAB6" s="2">
        <v>0</v>
      </c>
      <c r="AAC6" s="2">
        <v>0.01</v>
      </c>
      <c r="AAD6" s="2">
        <v>0.38</v>
      </c>
      <c r="AAE6" s="2">
        <v>0</v>
      </c>
      <c r="AAF6" s="2">
        <v>0</v>
      </c>
      <c r="AAG6" s="2">
        <v>0</v>
      </c>
      <c r="AAH6" s="2">
        <v>0</v>
      </c>
      <c r="AAI6" s="2">
        <v>0</v>
      </c>
      <c r="AAJ6" s="2">
        <v>0</v>
      </c>
      <c r="AAK6" s="2">
        <v>6.9000000000000006E-2</v>
      </c>
      <c r="AAL6" s="2">
        <v>1E-3</v>
      </c>
      <c r="AAM6" s="2">
        <v>0.44</v>
      </c>
      <c r="AAN6" s="2">
        <v>0</v>
      </c>
      <c r="AAO6" s="2">
        <v>0</v>
      </c>
      <c r="AAP6" s="2">
        <v>0</v>
      </c>
      <c r="AAQ6" s="2">
        <v>0.12</v>
      </c>
      <c r="AAR6" s="2">
        <v>0</v>
      </c>
      <c r="AAS6" s="2">
        <v>0</v>
      </c>
      <c r="AAT6" s="2">
        <v>0</v>
      </c>
      <c r="AAU6" s="2">
        <v>0</v>
      </c>
      <c r="AAV6" s="2">
        <v>0</v>
      </c>
      <c r="AAW6" s="2">
        <v>0</v>
      </c>
      <c r="AAX6" s="2">
        <v>0.18</v>
      </c>
      <c r="AAY6" s="2">
        <v>0.01</v>
      </c>
      <c r="AAZ6" s="2">
        <v>0.69</v>
      </c>
      <c r="ABA6" s="2">
        <v>0</v>
      </c>
      <c r="ABB6" s="2">
        <v>0</v>
      </c>
      <c r="ABC6" s="2">
        <v>0.01</v>
      </c>
      <c r="ABD6" s="2">
        <v>0.45</v>
      </c>
      <c r="ABE6" s="2">
        <v>0</v>
      </c>
      <c r="ABF6" s="2">
        <v>0</v>
      </c>
      <c r="ABG6" s="2">
        <v>0</v>
      </c>
      <c r="ABH6" s="2">
        <v>0</v>
      </c>
      <c r="ABI6" s="2">
        <v>0</v>
      </c>
      <c r="ABJ6" s="2">
        <v>0</v>
      </c>
      <c r="ABK6" s="2">
        <v>0.14000000000000001</v>
      </c>
      <c r="ABL6" s="2">
        <v>1.6E-2</v>
      </c>
      <c r="ABM6" s="2">
        <v>0.38400000000000001</v>
      </c>
      <c r="ABN6" s="2">
        <v>0.1</v>
      </c>
      <c r="ABO6" s="2">
        <v>0</v>
      </c>
      <c r="ABP6" s="2">
        <v>0.01</v>
      </c>
      <c r="ABQ6" s="2">
        <v>0.38</v>
      </c>
      <c r="ABR6" s="2">
        <v>0</v>
      </c>
      <c r="ABS6" s="2">
        <v>0</v>
      </c>
      <c r="ABT6" s="2">
        <v>0</v>
      </c>
      <c r="ABU6" s="2">
        <v>0</v>
      </c>
      <c r="ABV6" s="2">
        <v>0</v>
      </c>
      <c r="ABW6" s="2">
        <v>0</v>
      </c>
      <c r="ABX6" s="2">
        <v>6.9000000000000006E-2</v>
      </c>
      <c r="ABY6" s="2">
        <v>1E-3</v>
      </c>
      <c r="ABZ6" s="2">
        <v>0.44</v>
      </c>
      <c r="ACA6" s="2">
        <v>0</v>
      </c>
      <c r="ACB6" s="2">
        <v>0</v>
      </c>
      <c r="ACC6" s="2">
        <v>0</v>
      </c>
      <c r="ACD6" s="2">
        <v>0.12</v>
      </c>
      <c r="ACE6" s="2">
        <v>0</v>
      </c>
      <c r="ACF6" s="2">
        <v>0</v>
      </c>
      <c r="ACG6" s="2">
        <v>0</v>
      </c>
      <c r="ACH6" s="2">
        <v>0</v>
      </c>
      <c r="ACI6" s="2">
        <v>0</v>
      </c>
      <c r="ACJ6" s="2">
        <v>0</v>
      </c>
      <c r="ACK6" s="2">
        <v>0.18</v>
      </c>
      <c r="ACL6" s="2">
        <v>0.01</v>
      </c>
      <c r="ACM6" s="2">
        <v>0.69</v>
      </c>
      <c r="ACN6" s="2">
        <v>0.95</v>
      </c>
      <c r="ACO6" s="2">
        <v>0</v>
      </c>
      <c r="ACP6" s="2">
        <v>0</v>
      </c>
      <c r="ACQ6" s="2">
        <v>0</v>
      </c>
      <c r="ACR6" s="2">
        <v>0</v>
      </c>
      <c r="ACS6" s="2">
        <v>0</v>
      </c>
      <c r="ACT6" s="2">
        <v>0</v>
      </c>
      <c r="ACU6" s="2">
        <v>0</v>
      </c>
      <c r="ACV6" s="2">
        <v>0</v>
      </c>
      <c r="ACW6" s="2">
        <v>0.8</v>
      </c>
      <c r="ACX6" s="2">
        <v>0</v>
      </c>
      <c r="ACY6" s="2">
        <v>0</v>
      </c>
      <c r="ACZ6" s="2">
        <v>0</v>
      </c>
      <c r="ADA6" s="2">
        <v>0</v>
      </c>
      <c r="ADB6" s="2">
        <v>0.19</v>
      </c>
      <c r="ADC6" s="2">
        <v>0.01</v>
      </c>
      <c r="ADD6" s="2">
        <v>0</v>
      </c>
      <c r="ADE6" s="2">
        <v>0</v>
      </c>
      <c r="ADF6" s="2">
        <v>1</v>
      </c>
      <c r="ADG6" s="2">
        <v>0</v>
      </c>
      <c r="ADH6" s="2">
        <v>0</v>
      </c>
      <c r="ADI6" s="2">
        <v>0</v>
      </c>
      <c r="ADJ6" s="2">
        <v>0</v>
      </c>
      <c r="ADK6" s="2">
        <v>0</v>
      </c>
      <c r="ADL6" s="2">
        <v>0</v>
      </c>
      <c r="ADM6" s="2">
        <v>0</v>
      </c>
      <c r="ADN6" s="2">
        <v>0</v>
      </c>
      <c r="ADO6" s="2">
        <v>0.28000000000000003</v>
      </c>
      <c r="ADP6" s="2">
        <v>0</v>
      </c>
      <c r="ADQ6" s="2">
        <v>0</v>
      </c>
      <c r="ADR6" s="2">
        <v>0</v>
      </c>
      <c r="ADS6" s="2">
        <v>0.1</v>
      </c>
      <c r="ADT6" s="2">
        <v>0.06</v>
      </c>
      <c r="ADU6" s="2">
        <v>0.56000000000000005</v>
      </c>
      <c r="ADV6" s="2">
        <v>0</v>
      </c>
      <c r="ADW6" s="2">
        <v>0</v>
      </c>
      <c r="ADX6" s="2">
        <v>1</v>
      </c>
      <c r="ADY6" s="2">
        <v>0.1</v>
      </c>
      <c r="ADZ6" s="2">
        <v>0.9</v>
      </c>
      <c r="AEA6" s="2">
        <v>0</v>
      </c>
      <c r="AEB6" s="2">
        <v>1</v>
      </c>
      <c r="AEC6" s="2">
        <v>0</v>
      </c>
      <c r="AED6" s="2">
        <v>0</v>
      </c>
      <c r="AEE6" s="2">
        <v>0</v>
      </c>
      <c r="AEF6" s="2">
        <v>0</v>
      </c>
      <c r="AEG6" s="2">
        <v>0</v>
      </c>
      <c r="AEH6" s="2">
        <v>1</v>
      </c>
      <c r="AEI6" s="2">
        <v>0</v>
      </c>
      <c r="AEJ6" s="2">
        <v>0</v>
      </c>
      <c r="AEK6" s="2">
        <v>0</v>
      </c>
      <c r="AEL6" s="2">
        <v>1</v>
      </c>
      <c r="AEM6" s="2">
        <v>0</v>
      </c>
      <c r="AEN6" s="2">
        <v>0</v>
      </c>
      <c r="AEO6" s="2">
        <v>0</v>
      </c>
      <c r="AEP6" s="2">
        <v>0</v>
      </c>
      <c r="AEQ6" s="2">
        <v>1</v>
      </c>
      <c r="AER6" s="2">
        <v>0</v>
      </c>
      <c r="AES6" s="2">
        <v>0</v>
      </c>
      <c r="AET6" s="2">
        <v>0</v>
      </c>
      <c r="AEU6" s="2">
        <v>0</v>
      </c>
      <c r="AEV6" s="2">
        <v>0</v>
      </c>
      <c r="AEW6" s="2">
        <v>0.01</v>
      </c>
      <c r="AEX6" s="2">
        <v>0</v>
      </c>
      <c r="AEY6" s="2">
        <v>0</v>
      </c>
      <c r="AEZ6" s="2">
        <v>0</v>
      </c>
      <c r="AFA6" s="2">
        <v>0</v>
      </c>
      <c r="AFB6" s="2">
        <v>0</v>
      </c>
      <c r="AFC6" s="2">
        <v>0</v>
      </c>
      <c r="AFD6" s="2">
        <v>0</v>
      </c>
      <c r="AFE6" s="2">
        <v>0.3</v>
      </c>
      <c r="AFF6" s="2">
        <v>0</v>
      </c>
      <c r="AFG6" s="2">
        <v>0.7</v>
      </c>
      <c r="AFH6" s="2">
        <v>0</v>
      </c>
      <c r="AFI6" s="2">
        <v>0</v>
      </c>
      <c r="AFJ6" s="2">
        <v>0</v>
      </c>
      <c r="AFK6" s="2">
        <v>0</v>
      </c>
      <c r="AFL6" s="2">
        <v>0</v>
      </c>
      <c r="AFM6" s="2">
        <v>0</v>
      </c>
      <c r="AFN6" s="2">
        <v>2E-3</v>
      </c>
      <c r="AFO6" s="2">
        <v>0.03</v>
      </c>
      <c r="AFP6" s="2">
        <v>0.99</v>
      </c>
      <c r="AFQ6" s="2">
        <v>0</v>
      </c>
      <c r="AFR6" s="2">
        <v>0</v>
      </c>
      <c r="AFS6" s="2">
        <v>0.26400000000000001</v>
      </c>
      <c r="AFT6" s="2">
        <v>0.28000000000000003</v>
      </c>
      <c r="AFU6" s="2">
        <v>0.19800000000000001</v>
      </c>
      <c r="AFV6" s="2">
        <v>0</v>
      </c>
      <c r="AFW6" s="2">
        <v>0</v>
      </c>
      <c r="AFX6" s="2">
        <v>0</v>
      </c>
      <c r="AFY6" s="2">
        <v>0</v>
      </c>
      <c r="AFZ6" s="2">
        <v>0</v>
      </c>
      <c r="AGA6" s="2">
        <v>0</v>
      </c>
      <c r="AGB6" s="2">
        <v>0.37380000000000002</v>
      </c>
      <c r="AGC6" s="2">
        <v>0.26700000000000002</v>
      </c>
      <c r="AGD6" s="2">
        <v>60</v>
      </c>
      <c r="AGE6" s="2">
        <v>3.5</v>
      </c>
      <c r="AGF6" s="2">
        <v>3.8</v>
      </c>
      <c r="AGG6" s="2">
        <v>2.6753999999999998</v>
      </c>
      <c r="AGH6" s="2">
        <v>2.474745</v>
      </c>
      <c r="AGI6" s="2">
        <v>3.746</v>
      </c>
      <c r="AGJ6" s="2">
        <v>3.5</v>
      </c>
      <c r="AGK6" s="2">
        <v>0.28999999999999998</v>
      </c>
      <c r="AGL6" s="2">
        <v>0.10199999999999999</v>
      </c>
      <c r="AGM6" s="2">
        <v>0.1</v>
      </c>
      <c r="AGN6" s="2">
        <v>0.28999999999999998</v>
      </c>
      <c r="AGO6" s="2">
        <v>0.224</v>
      </c>
      <c r="AGP6" s="2">
        <v>0.21</v>
      </c>
      <c r="AGQ6" s="2">
        <v>2.5</v>
      </c>
      <c r="AGR6" s="2">
        <v>3</v>
      </c>
      <c r="AGS6" s="2">
        <v>1.911</v>
      </c>
      <c r="AGT6" s="2">
        <v>1.7676750000000001</v>
      </c>
      <c r="AGU6" s="2">
        <v>0.26800000000000002</v>
      </c>
      <c r="AGV6" s="2">
        <v>2.5</v>
      </c>
      <c r="AGW6" s="2">
        <v>3.5</v>
      </c>
      <c r="AGX6" s="2">
        <v>3.8219999999999898</v>
      </c>
      <c r="AGY6" s="2">
        <v>2.6753999999999998</v>
      </c>
      <c r="AGZ6" s="2">
        <v>2.474745</v>
      </c>
      <c r="AHA6" s="2">
        <v>3.746</v>
      </c>
      <c r="AHB6" s="2">
        <v>3.5</v>
      </c>
      <c r="AHC6" s="2">
        <v>11</v>
      </c>
      <c r="AHD6" s="2">
        <v>13</v>
      </c>
      <c r="AHE6" s="2">
        <v>16</v>
      </c>
      <c r="AHF6" s="2">
        <v>9.25</v>
      </c>
      <c r="AHG6" s="2">
        <v>14</v>
      </c>
      <c r="AHH6" s="2">
        <v>7.0000000000000007E-2</v>
      </c>
      <c r="AHI6" s="2">
        <v>1.02</v>
      </c>
      <c r="AHJ6" s="2">
        <v>0.1</v>
      </c>
      <c r="AHK6" s="2">
        <v>0</v>
      </c>
      <c r="AHL6" s="2">
        <v>0</v>
      </c>
      <c r="AHM6" s="2">
        <v>0</v>
      </c>
      <c r="AHN6" s="2">
        <v>0</v>
      </c>
      <c r="AHO6" s="2">
        <v>0</v>
      </c>
      <c r="AHP6" s="2">
        <v>0</v>
      </c>
      <c r="AHQ6" s="2">
        <v>74.59</v>
      </c>
      <c r="AHR6" s="2">
        <v>11.8</v>
      </c>
      <c r="AHS6" s="2">
        <v>18.535</v>
      </c>
      <c r="AHT6" s="2">
        <v>2.2360000000000002</v>
      </c>
      <c r="AHU6" s="2">
        <v>0.4</v>
      </c>
      <c r="AHV6" s="2">
        <v>0.6</v>
      </c>
      <c r="AHW6" s="2">
        <v>0.9</v>
      </c>
      <c r="AHX6" s="2">
        <v>0.45</v>
      </c>
      <c r="AHY6" s="2">
        <v>0.3</v>
      </c>
      <c r="AHZ6" s="2">
        <v>1316</v>
      </c>
      <c r="AIA6" s="2">
        <v>105</v>
      </c>
      <c r="AIB6" s="2">
        <v>11520</v>
      </c>
      <c r="AIC6" s="2">
        <v>150</v>
      </c>
      <c r="AID6" s="2">
        <v>0</v>
      </c>
      <c r="AIE6" s="2">
        <v>0</v>
      </c>
      <c r="AIF6" s="2">
        <v>0</v>
      </c>
      <c r="AIG6" s="2">
        <v>0</v>
      </c>
      <c r="AIH6" s="2">
        <v>0</v>
      </c>
      <c r="AII6" s="2">
        <v>0</v>
      </c>
      <c r="AIJ6" s="2">
        <v>0</v>
      </c>
      <c r="AIK6" s="2">
        <v>0</v>
      </c>
      <c r="AIL6" s="2">
        <v>0</v>
      </c>
      <c r="AIM6" s="2">
        <v>0</v>
      </c>
      <c r="AIN6" s="2">
        <v>0</v>
      </c>
      <c r="AIO6" s="2">
        <v>0</v>
      </c>
      <c r="AIP6" s="2">
        <v>-999</v>
      </c>
      <c r="AIQ6" s="2">
        <v>-999</v>
      </c>
      <c r="AIR6" s="2">
        <v>-999</v>
      </c>
      <c r="AIS6" s="2">
        <v>-999</v>
      </c>
      <c r="AIT6" s="2">
        <v>-999</v>
      </c>
      <c r="AIU6" s="2">
        <v>-999</v>
      </c>
      <c r="AIV6" s="2">
        <v>-999</v>
      </c>
      <c r="AIW6" s="2">
        <v>-999</v>
      </c>
      <c r="AIX6" s="2">
        <v>-999</v>
      </c>
      <c r="AIY6" s="2">
        <v>-999</v>
      </c>
      <c r="AIZ6" s="2">
        <v>-999</v>
      </c>
      <c r="AJA6" s="2">
        <v>-999</v>
      </c>
      <c r="AJB6" s="2">
        <v>1200</v>
      </c>
      <c r="AJC6" s="2">
        <v>800</v>
      </c>
      <c r="AJD6" s="2">
        <v>800</v>
      </c>
      <c r="AJE6" s="2">
        <v>4335</v>
      </c>
      <c r="AJF6" s="2">
        <v>4525</v>
      </c>
      <c r="AJG6" s="2">
        <v>6625</v>
      </c>
      <c r="AJH6" s="2">
        <v>4074</v>
      </c>
      <c r="AJI6" s="2">
        <v>2845</v>
      </c>
      <c r="AJJ6" s="2">
        <v>1131.5</v>
      </c>
      <c r="AJK6" s="2">
        <v>3076</v>
      </c>
      <c r="AJL6" s="2">
        <v>3083</v>
      </c>
      <c r="AJM6" s="2">
        <v>7289</v>
      </c>
      <c r="AJN6" s="2">
        <v>3998</v>
      </c>
      <c r="AJO6" s="2">
        <v>3998</v>
      </c>
      <c r="AJP6" s="2">
        <v>850</v>
      </c>
      <c r="AJQ6" s="2">
        <v>3678</v>
      </c>
      <c r="AJR6" s="2">
        <v>3880</v>
      </c>
      <c r="AJS6" s="2">
        <v>167.02500000000001</v>
      </c>
      <c r="AJT6" s="2">
        <v>74.266037735848997</v>
      </c>
      <c r="AJU6" s="8">
        <v>3.358E-5</v>
      </c>
      <c r="AJV6" s="2">
        <v>1.0099</v>
      </c>
      <c r="AJW6" s="8">
        <v>5.8769999999999998E-6</v>
      </c>
      <c r="AJX6" s="2">
        <v>2.6086956521739101E-4</v>
      </c>
      <c r="AJY6" s="2">
        <v>6.3739130434782503</v>
      </c>
      <c r="AJZ6" s="8">
        <v>5.2173913043478202E-5</v>
      </c>
      <c r="AKA6" s="2">
        <v>1</v>
      </c>
      <c r="AKB6" s="2">
        <v>1</v>
      </c>
      <c r="AKC6" s="2">
        <v>1</v>
      </c>
      <c r="AKD6" s="2">
        <v>1</v>
      </c>
      <c r="AKE6" s="2">
        <v>1</v>
      </c>
      <c r="AKF6" s="2">
        <v>1</v>
      </c>
      <c r="AKG6" s="2">
        <v>1</v>
      </c>
      <c r="AKH6" s="2">
        <v>0.1</v>
      </c>
      <c r="AKI6" s="2">
        <v>1</v>
      </c>
      <c r="AKJ6" s="2">
        <v>1</v>
      </c>
      <c r="AKK6" s="2">
        <v>1</v>
      </c>
      <c r="AKL6" s="2">
        <v>1</v>
      </c>
      <c r="AKM6" s="2">
        <v>1</v>
      </c>
      <c r="AKN6" s="2">
        <v>0.1</v>
      </c>
      <c r="AKO6" s="2">
        <v>1</v>
      </c>
      <c r="AKP6" s="2">
        <v>1</v>
      </c>
      <c r="AKQ6" s="2">
        <v>1</v>
      </c>
      <c r="AKR6" s="2">
        <v>1</v>
      </c>
      <c r="AKS6" s="2">
        <v>1</v>
      </c>
      <c r="AKT6" s="2">
        <v>1</v>
      </c>
      <c r="AKU6" s="2">
        <v>1</v>
      </c>
      <c r="AKV6" s="2">
        <v>1</v>
      </c>
      <c r="AKW6" s="2">
        <v>1</v>
      </c>
      <c r="AKX6" s="2">
        <v>1</v>
      </c>
      <c r="AKY6" s="2">
        <v>1</v>
      </c>
      <c r="AKZ6" s="2">
        <v>1</v>
      </c>
      <c r="ALA6" s="2">
        <v>1</v>
      </c>
      <c r="ALB6" s="2">
        <v>1</v>
      </c>
      <c r="ALC6" s="2">
        <v>1</v>
      </c>
      <c r="ALD6" s="2">
        <v>1</v>
      </c>
      <c r="ALE6" s="2">
        <v>1</v>
      </c>
      <c r="ALF6" s="2">
        <v>1</v>
      </c>
      <c r="ALG6" s="2">
        <v>1</v>
      </c>
      <c r="ALH6" s="2">
        <v>1</v>
      </c>
      <c r="ALI6" s="2">
        <v>1</v>
      </c>
      <c r="ALJ6" s="2">
        <v>1</v>
      </c>
      <c r="ALK6" s="2">
        <v>1</v>
      </c>
      <c r="ALL6" s="2">
        <v>1</v>
      </c>
      <c r="ALM6" s="2">
        <v>1</v>
      </c>
      <c r="ALN6" s="2">
        <v>1</v>
      </c>
      <c r="ALO6" s="2">
        <v>1</v>
      </c>
      <c r="ALP6" s="2">
        <v>1</v>
      </c>
      <c r="ALQ6" s="2">
        <v>300</v>
      </c>
      <c r="ALR6" s="2">
        <v>150</v>
      </c>
      <c r="ALS6" s="2">
        <v>150</v>
      </c>
      <c r="ALT6" s="2">
        <v>151.72999999999999</v>
      </c>
      <c r="ALU6" s="2">
        <v>131.62</v>
      </c>
      <c r="ALV6" s="2">
        <v>62.34</v>
      </c>
      <c r="ALW6" s="2">
        <v>42.49</v>
      </c>
      <c r="ALX6" s="2">
        <v>28.89</v>
      </c>
      <c r="ALY6" s="2">
        <v>13.77</v>
      </c>
      <c r="ALZ6" s="2">
        <v>143.22</v>
      </c>
      <c r="AMA6" s="2">
        <v>43.78</v>
      </c>
      <c r="AMB6" s="2">
        <v>113.41</v>
      </c>
      <c r="AMC6" s="2">
        <v>71.94</v>
      </c>
      <c r="AMD6" s="2">
        <v>71.94</v>
      </c>
      <c r="AME6" s="2">
        <v>24.82</v>
      </c>
      <c r="AMF6" s="2">
        <v>24.26</v>
      </c>
      <c r="AMG6" s="2">
        <v>71.37</v>
      </c>
      <c r="AMH6" s="2">
        <v>0</v>
      </c>
      <c r="AMI6" s="2">
        <v>0</v>
      </c>
      <c r="AMJ6" s="2">
        <v>0</v>
      </c>
      <c r="AMK6" s="2">
        <v>0</v>
      </c>
      <c r="AML6" s="9">
        <v>7.2929003303621514E-3</v>
      </c>
      <c r="AMM6" s="2">
        <v>0.32250825905379293</v>
      </c>
      <c r="AMN6" s="2">
        <v>0</v>
      </c>
      <c r="AMO6" s="2">
        <v>0</v>
      </c>
      <c r="AMP6" s="2">
        <v>0</v>
      </c>
      <c r="AMQ6" s="2">
        <v>0</v>
      </c>
      <c r="AMR6" s="2">
        <v>0.42018325749548091</v>
      </c>
      <c r="AMS6" s="2">
        <v>0</v>
      </c>
      <c r="AMT6" s="2">
        <v>0</v>
      </c>
      <c r="AMU6" s="2">
        <v>0.16006981237923082</v>
      </c>
      <c r="AMV6" s="2">
        <v>4.4879386648382473E-2</v>
      </c>
      <c r="AMW6" s="2">
        <v>0</v>
      </c>
      <c r="AMX6" s="2">
        <v>4.5066384092750732E-2</v>
      </c>
      <c r="AMY6" s="2">
        <v>1.3034433554879601</v>
      </c>
      <c r="AMZ6" s="2">
        <v>0</v>
      </c>
      <c r="ANA6" s="2">
        <v>1.9670000000000001</v>
      </c>
      <c r="ANB6" s="2">
        <v>0</v>
      </c>
      <c r="ANC6" s="2">
        <v>0</v>
      </c>
      <c r="AND6" s="2">
        <v>1.3149999999999999</v>
      </c>
      <c r="ANE6" s="2">
        <v>0</v>
      </c>
      <c r="ANF6" s="2">
        <v>8.8768668407310704E-3</v>
      </c>
      <c r="ANG6" s="2">
        <v>1</v>
      </c>
      <c r="ANH6" s="2">
        <v>1.0869565217391299</v>
      </c>
      <c r="ANI6" s="2">
        <v>0</v>
      </c>
      <c r="ANJ6" s="2">
        <v>1.00230179028132</v>
      </c>
      <c r="ANK6" s="2">
        <v>7.8260869565217606E-3</v>
      </c>
      <c r="ANL6" s="2">
        <v>7.3657289002557703E-3</v>
      </c>
      <c r="ANM6" s="2">
        <v>4.6035805626598499E-4</v>
      </c>
      <c r="ANN6" s="2">
        <v>5.0639386189258399E-3</v>
      </c>
      <c r="ANO6" s="2">
        <v>0</v>
      </c>
      <c r="ANP6" s="2">
        <v>3.7634408602150601E-2</v>
      </c>
      <c r="ANQ6" s="2">
        <v>3.5420619860847602E-2</v>
      </c>
      <c r="ANR6" s="2">
        <v>2.2137887413029699E-3</v>
      </c>
      <c r="ANS6" s="2">
        <v>0</v>
      </c>
      <c r="ANT6" s="2">
        <v>0</v>
      </c>
      <c r="ANU6" s="2">
        <v>4.0540540540540397E-2</v>
      </c>
      <c r="ANV6" s="2">
        <v>3.8155802861685101E-2</v>
      </c>
      <c r="ANW6" s="2">
        <v>2.3847376788553201E-3</v>
      </c>
      <c r="ANX6" s="2">
        <v>0</v>
      </c>
      <c r="ANY6" s="2">
        <v>0</v>
      </c>
      <c r="ANZ6" s="2">
        <v>1</v>
      </c>
      <c r="AOA6" s="2">
        <v>1</v>
      </c>
      <c r="AOB6" s="2">
        <v>1</v>
      </c>
      <c r="AOC6" s="2">
        <v>2.76E-2</v>
      </c>
      <c r="AOD6" s="2">
        <v>0.94899999999999995</v>
      </c>
      <c r="AOE6" s="2">
        <v>0.2969</v>
      </c>
      <c r="AOF6" s="2">
        <v>0.47910000000000003</v>
      </c>
      <c r="AOG6" s="2">
        <v>0.04</v>
      </c>
      <c r="AOH6" s="2">
        <v>8.5949999999999999E-2</v>
      </c>
      <c r="AOI6" s="2">
        <v>1.405E-2</v>
      </c>
      <c r="AOJ6" s="2">
        <v>1</v>
      </c>
      <c r="AOK6" s="2">
        <v>1</v>
      </c>
      <c r="AOL6" s="2">
        <v>1</v>
      </c>
      <c r="AOM6" s="2">
        <v>0</v>
      </c>
      <c r="AON6" s="2">
        <v>1</v>
      </c>
      <c r="AOO6" s="2">
        <v>0</v>
      </c>
      <c r="AOP6" s="2">
        <v>0</v>
      </c>
      <c r="AOQ6" s="2">
        <v>0</v>
      </c>
      <c r="AOR6" s="2">
        <v>0</v>
      </c>
      <c r="AOS6" s="2">
        <v>1</v>
      </c>
      <c r="AOT6" s="2">
        <v>1</v>
      </c>
      <c r="AOU6" s="2">
        <v>0</v>
      </c>
      <c r="AOV6" s="2">
        <v>1</v>
      </c>
      <c r="AOW6" s="2">
        <v>0</v>
      </c>
      <c r="AOX6" s="2">
        <v>1</v>
      </c>
      <c r="AOY6" s="2">
        <v>0</v>
      </c>
      <c r="AOZ6" s="2">
        <v>1</v>
      </c>
      <c r="APA6" s="2">
        <v>1</v>
      </c>
      <c r="APB6" s="2">
        <v>1</v>
      </c>
      <c r="APC6" s="2">
        <v>1</v>
      </c>
      <c r="APD6" s="2">
        <v>1</v>
      </c>
      <c r="APE6" s="2">
        <v>1.1499999999999999</v>
      </c>
      <c r="APF6" s="2">
        <v>0</v>
      </c>
      <c r="APG6" s="2">
        <v>1</v>
      </c>
      <c r="APH6" s="2">
        <v>0</v>
      </c>
      <c r="API6" s="2">
        <v>1</v>
      </c>
      <c r="APJ6" s="2">
        <v>1</v>
      </c>
      <c r="APK6" s="2">
        <v>1</v>
      </c>
      <c r="APL6" s="2">
        <v>1</v>
      </c>
      <c r="APM6" s="2">
        <v>1</v>
      </c>
      <c r="APN6" s="2">
        <v>1</v>
      </c>
      <c r="APO6" s="2">
        <v>1</v>
      </c>
      <c r="APP6" s="2">
        <v>1</v>
      </c>
      <c r="APQ6" s="2">
        <v>0.5</v>
      </c>
      <c r="APR6" s="2">
        <v>0</v>
      </c>
      <c r="APS6" s="2">
        <v>1</v>
      </c>
      <c r="APT6" s="2">
        <v>0.25</v>
      </c>
      <c r="APU6" s="2">
        <v>0.25</v>
      </c>
      <c r="APV6" s="2">
        <v>0.25</v>
      </c>
      <c r="APW6" s="2">
        <v>0.25</v>
      </c>
      <c r="APX6" s="2">
        <v>0</v>
      </c>
      <c r="APY6" s="2">
        <v>0.5</v>
      </c>
      <c r="APZ6" s="2">
        <v>0</v>
      </c>
      <c r="AQA6" s="2">
        <v>0</v>
      </c>
      <c r="AQB6" s="2">
        <v>0</v>
      </c>
      <c r="AQC6" s="2">
        <v>0</v>
      </c>
      <c r="AQD6" s="2">
        <v>198.95</v>
      </c>
      <c r="AQE6" s="2">
        <v>0.4</v>
      </c>
      <c r="AQF6" s="2">
        <v>0</v>
      </c>
      <c r="AQG6" s="2">
        <v>0</v>
      </c>
      <c r="AQH6" s="2">
        <v>0</v>
      </c>
      <c r="AQI6" s="2">
        <v>3</v>
      </c>
      <c r="AQJ6" s="2">
        <v>0</v>
      </c>
      <c r="AQK6" s="2">
        <v>25</v>
      </c>
      <c r="AQL6" s="2">
        <v>0</v>
      </c>
      <c r="AQM6" s="2">
        <v>-999</v>
      </c>
      <c r="AQN6" s="2">
        <v>-999</v>
      </c>
      <c r="AQO6" s="2">
        <v>-999</v>
      </c>
      <c r="AQP6" s="2">
        <v>-999</v>
      </c>
      <c r="AQQ6" s="2">
        <v>-999</v>
      </c>
      <c r="AQR6" s="2">
        <v>-999</v>
      </c>
      <c r="AQS6" s="2">
        <v>-999</v>
      </c>
      <c r="AQT6" s="2">
        <v>-999</v>
      </c>
      <c r="AQU6" s="2">
        <v>-999</v>
      </c>
      <c r="AQV6" s="2">
        <v>-999</v>
      </c>
      <c r="AQW6" s="2">
        <v>-999</v>
      </c>
      <c r="AQX6" s="2">
        <v>-999</v>
      </c>
      <c r="AQY6" s="2">
        <v>-999</v>
      </c>
      <c r="AQZ6" s="2">
        <v>0</v>
      </c>
      <c r="ARA6" s="2">
        <v>-999</v>
      </c>
      <c r="ARB6" s="2">
        <v>-999</v>
      </c>
      <c r="ARC6" s="2">
        <v>-999</v>
      </c>
      <c r="ARD6" s="2">
        <v>-999</v>
      </c>
      <c r="ARE6" s="2">
        <v>-999</v>
      </c>
      <c r="ARF6" s="2">
        <v>-999</v>
      </c>
      <c r="ARG6" s="2">
        <v>-999</v>
      </c>
      <c r="ARH6" s="2">
        <v>-999</v>
      </c>
      <c r="ARI6" s="2">
        <v>-999</v>
      </c>
      <c r="ARJ6" s="2">
        <v>-999</v>
      </c>
      <c r="ARK6" s="2">
        <v>-999</v>
      </c>
      <c r="ARL6" s="2">
        <v>-999</v>
      </c>
      <c r="ARM6" s="2">
        <v>-999</v>
      </c>
      <c r="ARN6" s="2">
        <v>-999</v>
      </c>
      <c r="ARO6" s="2">
        <v>-999</v>
      </c>
      <c r="ARP6" s="2">
        <v>-999</v>
      </c>
      <c r="ARQ6" s="2">
        <v>-999</v>
      </c>
      <c r="ARR6" s="2">
        <v>-999</v>
      </c>
      <c r="ARS6" s="2">
        <v>-999</v>
      </c>
      <c r="ART6" s="2">
        <v>-999</v>
      </c>
      <c r="ARU6" s="2">
        <v>-999</v>
      </c>
      <c r="ARV6" s="2">
        <v>-999</v>
      </c>
      <c r="ARW6" s="2">
        <v>-999</v>
      </c>
      <c r="ARX6" s="2">
        <v>-999</v>
      </c>
      <c r="ARY6" s="2">
        <v>-999</v>
      </c>
      <c r="ARZ6" s="2">
        <v>-999</v>
      </c>
      <c r="ASA6" s="2">
        <v>-999</v>
      </c>
      <c r="ASB6" s="2">
        <v>-999</v>
      </c>
      <c r="ASC6" s="2">
        <v>-999</v>
      </c>
      <c r="ASD6" s="2">
        <v>-999</v>
      </c>
      <c r="ASE6" s="2">
        <v>-999</v>
      </c>
      <c r="ASF6" s="2">
        <v>-999</v>
      </c>
      <c r="ASG6" s="2">
        <v>-999</v>
      </c>
      <c r="ASH6" s="2">
        <v>-999</v>
      </c>
      <c r="ASI6" s="2">
        <v>-999</v>
      </c>
      <c r="ASJ6" s="2">
        <v>-999</v>
      </c>
      <c r="ASK6" s="2">
        <v>-999</v>
      </c>
      <c r="ASL6" s="2">
        <v>-999</v>
      </c>
      <c r="ASM6" s="2">
        <v>-999</v>
      </c>
      <c r="ASN6" s="2">
        <v>-999</v>
      </c>
      <c r="ASO6" s="2">
        <v>-999</v>
      </c>
      <c r="ASP6" s="2">
        <v>4.51</v>
      </c>
      <c r="ASQ6" s="2">
        <v>133</v>
      </c>
      <c r="ASR6" s="2">
        <v>11.49</v>
      </c>
      <c r="ASS6" s="2">
        <v>78.8</v>
      </c>
      <c r="AST6" s="2">
        <v>6.11</v>
      </c>
      <c r="ASU6" s="2">
        <v>2.3199999999999998</v>
      </c>
      <c r="ASV6" s="2">
        <v>1.21</v>
      </c>
      <c r="ASW6" s="2">
        <v>26</v>
      </c>
      <c r="ASX6" s="2">
        <v>2.81</v>
      </c>
      <c r="ASY6" s="2">
        <v>3.22</v>
      </c>
      <c r="ASZ6" s="2">
        <v>183.3</v>
      </c>
      <c r="ATA6" s="2">
        <v>30</v>
      </c>
      <c r="ATB6" s="2">
        <v>120</v>
      </c>
      <c r="ATC6" s="2">
        <v>40</v>
      </c>
      <c r="ATD6" s="2">
        <v>0.3</v>
      </c>
      <c r="ATE6" s="2">
        <v>1.55</v>
      </c>
      <c r="ATF6" s="2">
        <v>0</v>
      </c>
      <c r="ATG6" s="2">
        <v>1.8140000000000001</v>
      </c>
      <c r="ATH6" s="2">
        <v>500</v>
      </c>
      <c r="ATI6" s="2">
        <v>250</v>
      </c>
      <c r="ATJ6" s="2">
        <v>1</v>
      </c>
      <c r="ATK6" s="2">
        <v>2</v>
      </c>
      <c r="ATL6" s="2">
        <v>70</v>
      </c>
      <c r="ATM6" s="2">
        <v>470</v>
      </c>
      <c r="ATN6" s="2">
        <v>15</v>
      </c>
      <c r="ATO6" s="2">
        <v>2.8</v>
      </c>
      <c r="ATP6" s="2">
        <v>15</v>
      </c>
      <c r="ATQ6" s="2">
        <v>3.7</v>
      </c>
      <c r="ATR6" s="10">
        <v>17960843</v>
      </c>
      <c r="ATS6" s="10">
        <v>4220157</v>
      </c>
      <c r="ATT6" s="2">
        <v>100000</v>
      </c>
      <c r="ATU6" s="2">
        <v>80000</v>
      </c>
      <c r="ATV6" s="2">
        <v>5000</v>
      </c>
      <c r="ATW6" s="2">
        <v>14000</v>
      </c>
      <c r="ATX6" s="2">
        <v>1400</v>
      </c>
      <c r="ATY6" s="2">
        <v>10000</v>
      </c>
      <c r="ATZ6" s="2">
        <v>108</v>
      </c>
      <c r="AUA6" s="2">
        <v>105000</v>
      </c>
      <c r="AUB6" s="2">
        <v>100000</v>
      </c>
      <c r="AUC6" s="2">
        <v>0</v>
      </c>
      <c r="AUD6" s="2">
        <v>0</v>
      </c>
      <c r="AUE6" s="2">
        <v>0</v>
      </c>
      <c r="AUF6" s="2">
        <v>0</v>
      </c>
      <c r="AUG6" s="2">
        <v>0</v>
      </c>
      <c r="AUH6" s="2">
        <v>0</v>
      </c>
      <c r="AUI6" s="2">
        <v>5000</v>
      </c>
      <c r="AUJ6" s="2">
        <v>400000</v>
      </c>
      <c r="AUK6" s="2">
        <v>1424850.75</v>
      </c>
      <c r="AUL6" s="2">
        <v>0</v>
      </c>
      <c r="AUM6" s="2">
        <v>0.9</v>
      </c>
      <c r="AUN6" s="2">
        <v>1.2</v>
      </c>
      <c r="AUO6" s="2">
        <v>0.01</v>
      </c>
      <c r="AUP6" s="2">
        <v>2.6</v>
      </c>
      <c r="AUQ6" s="2">
        <v>0</v>
      </c>
      <c r="AUR6" s="2">
        <v>7.8</v>
      </c>
      <c r="AUS6" s="2">
        <v>0.6</v>
      </c>
      <c r="AUT6" s="2">
        <v>6</v>
      </c>
      <c r="AUU6" s="2">
        <v>0</v>
      </c>
      <c r="AUV6" s="2">
        <v>0</v>
      </c>
      <c r="AUW6" s="2">
        <v>0</v>
      </c>
      <c r="AUX6" s="2">
        <v>0</v>
      </c>
      <c r="AUY6" s="2">
        <v>0.1</v>
      </c>
      <c r="AUZ6" s="2">
        <v>2</v>
      </c>
      <c r="AVA6" s="2">
        <v>4</v>
      </c>
      <c r="AVB6" s="2">
        <v>0.6</v>
      </c>
      <c r="AVC6" s="2">
        <v>0.5</v>
      </c>
      <c r="AVD6" s="2">
        <v>0.95</v>
      </c>
      <c r="AVE6" s="2">
        <v>1</v>
      </c>
      <c r="AVF6" s="2">
        <v>1</v>
      </c>
      <c r="AVG6" s="2">
        <v>1</v>
      </c>
      <c r="AVH6" s="2">
        <v>1</v>
      </c>
      <c r="AVI6" s="2">
        <v>1</v>
      </c>
      <c r="AVJ6" s="2">
        <v>1</v>
      </c>
      <c r="AVK6" s="2">
        <v>1</v>
      </c>
      <c r="AVL6" s="2">
        <v>1</v>
      </c>
      <c r="AVM6" s="2">
        <v>1</v>
      </c>
      <c r="AVN6" s="2">
        <v>1</v>
      </c>
      <c r="AVO6" s="2">
        <v>1</v>
      </c>
      <c r="AVP6" s="2">
        <v>1</v>
      </c>
      <c r="AVQ6" s="2">
        <v>1</v>
      </c>
      <c r="AVR6" s="2">
        <v>1</v>
      </c>
      <c r="AVS6" s="2">
        <v>1</v>
      </c>
      <c r="AVT6" s="2">
        <v>1</v>
      </c>
      <c r="AVU6" s="2">
        <v>1</v>
      </c>
      <c r="AVV6" s="2">
        <v>1</v>
      </c>
      <c r="AVW6" s="2">
        <v>1</v>
      </c>
      <c r="AVX6" s="2">
        <v>1</v>
      </c>
      <c r="AVY6" s="2">
        <v>1</v>
      </c>
      <c r="AVZ6" s="2">
        <v>1</v>
      </c>
      <c r="AWA6" s="2">
        <v>1</v>
      </c>
      <c r="AWB6" s="2">
        <v>1</v>
      </c>
      <c r="AWC6" s="2">
        <v>1</v>
      </c>
      <c r="AWD6" s="2">
        <v>1</v>
      </c>
      <c r="AWE6" s="2">
        <v>60</v>
      </c>
      <c r="AWF6" s="2">
        <v>5</v>
      </c>
      <c r="AWG6" s="2">
        <v>4.5</v>
      </c>
      <c r="AWH6" s="2">
        <v>74.14</v>
      </c>
      <c r="AWI6" s="2">
        <v>14.57</v>
      </c>
      <c r="AWJ6" s="2">
        <v>14.57</v>
      </c>
      <c r="AWK6" s="2">
        <v>0.45</v>
      </c>
      <c r="AWL6" s="2">
        <v>25</v>
      </c>
      <c r="AWM6" s="2">
        <v>2</v>
      </c>
      <c r="AWN6" s="2">
        <v>1</v>
      </c>
      <c r="AWO6" s="2">
        <v>4</v>
      </c>
      <c r="AWP6" s="2">
        <v>25</v>
      </c>
      <c r="AWQ6" s="2">
        <v>5</v>
      </c>
      <c r="AWR6" s="2">
        <v>19</v>
      </c>
      <c r="AWS6" s="2">
        <v>25</v>
      </c>
      <c r="AWT6" s="2">
        <v>2</v>
      </c>
      <c r="AWU6" s="2">
        <v>3.4</v>
      </c>
      <c r="AWV6" s="2">
        <v>3</v>
      </c>
      <c r="AWW6" s="2">
        <v>4</v>
      </c>
      <c r="AWX6" s="2">
        <v>16</v>
      </c>
      <c r="AWY6" s="2">
        <v>16</v>
      </c>
      <c r="AWZ6" s="2">
        <v>25</v>
      </c>
      <c r="AXA6" s="2">
        <v>25</v>
      </c>
      <c r="AXB6" s="2">
        <v>25</v>
      </c>
    </row>
    <row r="7" spans="1:1302" x14ac:dyDescent="0.3">
      <c r="A7" s="1">
        <v>2021</v>
      </c>
      <c r="B7" s="2">
        <v>6552500</v>
      </c>
      <c r="C7" s="2">
        <v>0</v>
      </c>
      <c r="D7" s="2">
        <v>2317</v>
      </c>
      <c r="E7" s="2">
        <v>20</v>
      </c>
      <c r="F7" s="2">
        <v>2000</v>
      </c>
      <c r="G7" s="2">
        <v>1</v>
      </c>
      <c r="H7" s="2">
        <v>0.4</v>
      </c>
      <c r="I7" s="2">
        <v>5.0000000000000001E-3</v>
      </c>
      <c r="J7" s="2">
        <v>0.02</v>
      </c>
      <c r="K7" s="2">
        <v>1E-3</v>
      </c>
      <c r="L7" s="2">
        <v>7.0000000000000001E-3</v>
      </c>
      <c r="M7" s="2">
        <v>1E-3</v>
      </c>
      <c r="N7" s="2">
        <v>0.05</v>
      </c>
      <c r="O7" s="2">
        <v>4.7000000000000002E-3</v>
      </c>
      <c r="P7" s="2">
        <v>0.115</v>
      </c>
      <c r="Q7" s="2">
        <v>1.09E-2</v>
      </c>
      <c r="R7" s="2">
        <v>6.0000000000000001E-3</v>
      </c>
      <c r="S7" s="2">
        <v>1.7000000000000001E-2</v>
      </c>
      <c r="T7" s="2">
        <v>7.9000000000000001E-2</v>
      </c>
      <c r="U7" s="2">
        <v>2.2899999999999999E-3</v>
      </c>
      <c r="V7" s="2">
        <v>1.1999999999999999E-3</v>
      </c>
      <c r="W7" s="2">
        <v>8.0000000000000004E-4</v>
      </c>
      <c r="X7" s="2">
        <v>1.6E-2</v>
      </c>
      <c r="Y7" s="2">
        <v>1.4999999999999999E-2</v>
      </c>
      <c r="Z7" s="2">
        <v>2.5000000000000001E-2</v>
      </c>
      <c r="AA7" s="2">
        <v>0</v>
      </c>
      <c r="AB7" s="2">
        <v>13.13</v>
      </c>
      <c r="AC7" s="2">
        <v>3.5</v>
      </c>
      <c r="AD7" s="4">
        <v>10.223563748040172</v>
      </c>
      <c r="AE7" s="5">
        <v>161.29917616521837</v>
      </c>
      <c r="AF7" s="5">
        <v>469.24330698856386</v>
      </c>
      <c r="AG7" s="2">
        <v>0</v>
      </c>
      <c r="AH7" s="2">
        <v>0</v>
      </c>
      <c r="AI7" s="2">
        <v>800</v>
      </c>
      <c r="AJ7" s="2">
        <v>18.989999999999998</v>
      </c>
      <c r="AK7" s="2">
        <v>18.600000000000001</v>
      </c>
      <c r="AL7" s="2">
        <v>62</v>
      </c>
      <c r="AM7" s="6">
        <f>AN7*1.346</f>
        <v>169.11455919395468</v>
      </c>
      <c r="AN7" s="7">
        <v>125.64231738035265</v>
      </c>
      <c r="AO7" s="2">
        <v>0</v>
      </c>
      <c r="AP7" s="6">
        <v>471</v>
      </c>
      <c r="AQ7" s="7">
        <v>530.98236775818634</v>
      </c>
      <c r="AR7" s="2">
        <v>52.83</v>
      </c>
      <c r="AS7" s="2">
        <v>0</v>
      </c>
      <c r="AT7" s="7">
        <v>790.9319899244332</v>
      </c>
      <c r="AU7" s="2">
        <v>0</v>
      </c>
      <c r="AV7" s="2">
        <v>0</v>
      </c>
      <c r="AW7" s="2">
        <v>0</v>
      </c>
      <c r="AX7" s="2">
        <v>0</v>
      </c>
      <c r="AY7" s="2">
        <v>440</v>
      </c>
      <c r="AZ7" s="2">
        <v>9.99</v>
      </c>
      <c r="BA7" s="2">
        <v>74758.66</v>
      </c>
      <c r="BB7" s="2">
        <v>550</v>
      </c>
      <c r="BC7" s="2">
        <v>9380</v>
      </c>
      <c r="BD7" s="2">
        <v>3</v>
      </c>
      <c r="BE7" s="2">
        <v>0.4</v>
      </c>
      <c r="BF7" s="2">
        <v>20363</v>
      </c>
      <c r="BG7" s="2">
        <v>511</v>
      </c>
      <c r="BH7" s="2">
        <v>0</v>
      </c>
      <c r="BI7" s="2">
        <v>1</v>
      </c>
      <c r="BJ7" s="2">
        <v>1</v>
      </c>
      <c r="BK7" s="2">
        <v>1</v>
      </c>
      <c r="BL7" s="2">
        <v>1</v>
      </c>
      <c r="BM7" s="2">
        <v>1</v>
      </c>
      <c r="BN7" s="2">
        <v>1</v>
      </c>
      <c r="BO7" s="2">
        <v>1</v>
      </c>
      <c r="BP7" s="2">
        <v>1</v>
      </c>
      <c r="BQ7" s="2">
        <v>1</v>
      </c>
      <c r="BR7" s="2">
        <v>1</v>
      </c>
      <c r="BS7" s="2">
        <v>1</v>
      </c>
      <c r="BT7" s="2">
        <v>1</v>
      </c>
      <c r="BU7" s="2">
        <v>1</v>
      </c>
      <c r="BV7" s="2">
        <v>1</v>
      </c>
      <c r="BW7" s="2">
        <v>1</v>
      </c>
      <c r="BX7" s="2">
        <v>1</v>
      </c>
      <c r="BY7" s="2">
        <v>1</v>
      </c>
      <c r="BZ7" s="2">
        <v>1</v>
      </c>
      <c r="CA7" s="2">
        <v>1</v>
      </c>
      <c r="CB7" s="2">
        <v>1</v>
      </c>
      <c r="CC7" s="2">
        <v>1</v>
      </c>
      <c r="CD7" s="2">
        <v>1</v>
      </c>
      <c r="CE7" s="2">
        <v>1</v>
      </c>
      <c r="CF7" s="2">
        <v>1</v>
      </c>
      <c r="CG7" s="2">
        <v>1</v>
      </c>
      <c r="CH7" s="2">
        <v>1</v>
      </c>
      <c r="CI7" s="2">
        <v>1</v>
      </c>
      <c r="CJ7" s="2">
        <v>1</v>
      </c>
      <c r="CK7" s="2">
        <v>1</v>
      </c>
      <c r="CL7" s="2">
        <v>1</v>
      </c>
      <c r="CM7" s="2">
        <v>0</v>
      </c>
      <c r="CN7" s="2">
        <v>54.6</v>
      </c>
      <c r="CO7" s="2">
        <v>112</v>
      </c>
      <c r="CP7" s="2">
        <v>94.6</v>
      </c>
      <c r="CQ7" s="2">
        <v>97.016666666666595</v>
      </c>
      <c r="CR7" s="2">
        <v>103.833333333333</v>
      </c>
      <c r="CS7" s="2">
        <v>73.3</v>
      </c>
      <c r="CT7" s="2">
        <v>74.099999999999994</v>
      </c>
      <c r="CU7" s="2">
        <v>0</v>
      </c>
      <c r="CV7" s="2">
        <v>221</v>
      </c>
      <c r="CW7" s="2">
        <v>69.766666666666595</v>
      </c>
      <c r="CX7" s="2">
        <v>0</v>
      </c>
      <c r="CY7" s="2">
        <v>63.1</v>
      </c>
      <c r="CZ7" s="2">
        <v>0</v>
      </c>
      <c r="DA7" s="2">
        <v>0</v>
      </c>
      <c r="DB7" s="2">
        <v>71.7</v>
      </c>
      <c r="DC7" s="2">
        <v>60.15</v>
      </c>
      <c r="DD7" s="2">
        <v>60.15</v>
      </c>
      <c r="DE7" s="2">
        <v>0</v>
      </c>
      <c r="DF7" s="2">
        <v>0</v>
      </c>
      <c r="DG7" s="2">
        <v>75.349999999999994</v>
      </c>
      <c r="DH7" s="2">
        <v>95.066666666666606</v>
      </c>
      <c r="DI7" s="2">
        <v>0</v>
      </c>
      <c r="DJ7" s="2">
        <v>100.37</v>
      </c>
      <c r="DK7" s="2">
        <v>0</v>
      </c>
      <c r="DL7" s="2">
        <v>3.0000000000000001E-3</v>
      </c>
      <c r="DM7" s="2">
        <v>1E-3</v>
      </c>
      <c r="DN7" s="2">
        <v>1.6E-2</v>
      </c>
      <c r="DO7" s="2">
        <v>1E-3</v>
      </c>
      <c r="DP7" s="2">
        <v>1E-3</v>
      </c>
      <c r="DQ7" s="2">
        <v>1.6666666666666601E-3</v>
      </c>
      <c r="DR7" s="2">
        <v>3.0000000000000001E-3</v>
      </c>
      <c r="DS7" s="2">
        <v>3.0000000000000001E-3</v>
      </c>
      <c r="DT7" s="2">
        <v>0</v>
      </c>
      <c r="DU7" s="2">
        <v>1E-3</v>
      </c>
      <c r="DV7" s="2">
        <v>3.0000000000000001E-3</v>
      </c>
      <c r="DW7" s="2">
        <v>0</v>
      </c>
      <c r="DX7" s="2">
        <v>1E-3</v>
      </c>
      <c r="DY7" s="2">
        <v>0</v>
      </c>
      <c r="DZ7" s="2">
        <v>0</v>
      </c>
      <c r="EA7" s="2">
        <v>3.0000000000000001E-3</v>
      </c>
      <c r="EB7" s="2">
        <v>2E-3</v>
      </c>
      <c r="EC7" s="2">
        <v>2E-3</v>
      </c>
      <c r="ED7" s="2">
        <v>0</v>
      </c>
      <c r="EE7" s="2">
        <v>0</v>
      </c>
      <c r="EF7" s="2">
        <v>1.6500000000000001E-2</v>
      </c>
      <c r="EG7" s="2">
        <v>1E-3</v>
      </c>
      <c r="EH7" s="2">
        <v>0</v>
      </c>
      <c r="EI7" s="2">
        <v>2.79</v>
      </c>
      <c r="EJ7" s="2">
        <v>0</v>
      </c>
      <c r="EK7" s="2">
        <v>5.9999999999999995E-4</v>
      </c>
      <c r="EL7" s="2">
        <v>1E-4</v>
      </c>
      <c r="EM7" s="2">
        <v>2.875E-3</v>
      </c>
      <c r="EN7" s="2">
        <v>1.5E-3</v>
      </c>
      <c r="EO7" s="2">
        <v>1.5E-3</v>
      </c>
      <c r="EP7" s="2">
        <v>7.3333333333333302E-4</v>
      </c>
      <c r="EQ7" s="2">
        <v>5.9999999999999995E-4</v>
      </c>
      <c r="ER7" s="2">
        <v>5.9999999999999995E-4</v>
      </c>
      <c r="ES7" s="2">
        <v>0</v>
      </c>
      <c r="ET7" s="2">
        <v>1E-4</v>
      </c>
      <c r="EU7" s="2">
        <v>5.9999999999999995E-4</v>
      </c>
      <c r="EV7" s="2">
        <v>0</v>
      </c>
      <c r="EW7" s="2">
        <v>1E-4</v>
      </c>
      <c r="EX7" s="2">
        <v>0</v>
      </c>
      <c r="EY7" s="2">
        <v>0</v>
      </c>
      <c r="EZ7" s="2">
        <v>5.9999999999999995E-4</v>
      </c>
      <c r="FA7" s="2">
        <v>3.5E-4</v>
      </c>
      <c r="FB7" s="2">
        <v>3.5E-4</v>
      </c>
      <c r="FC7" s="2">
        <v>0</v>
      </c>
      <c r="FD7" s="2">
        <v>0</v>
      </c>
      <c r="FE7" s="2">
        <v>2.3E-3</v>
      </c>
      <c r="FF7" s="2">
        <v>1.5E-3</v>
      </c>
      <c r="FG7" s="2">
        <v>0</v>
      </c>
      <c r="FH7" s="2">
        <v>9.5899999999999996E-3</v>
      </c>
      <c r="FI7" s="2">
        <v>0</v>
      </c>
      <c r="FJ7" s="8">
        <v>1.6583123951776999E-6</v>
      </c>
      <c r="FK7" s="8">
        <v>8.4498520697110406E-8</v>
      </c>
      <c r="FL7" s="8">
        <v>2.4E-8</v>
      </c>
      <c r="FM7" s="2">
        <v>1.4105270168067501E-4</v>
      </c>
      <c r="FN7" s="8">
        <v>3.23821170194798E-9</v>
      </c>
      <c r="FO7" s="8">
        <v>2.46779253585061E-5</v>
      </c>
      <c r="FP7" s="2">
        <v>5.1415182085719699E-2</v>
      </c>
      <c r="FQ7" s="8">
        <v>4.89277622940513E-6</v>
      </c>
      <c r="FR7" s="2">
        <v>3.99749921826133E-2</v>
      </c>
      <c r="FS7" s="8">
        <v>6.3213623094501506E-11</v>
      </c>
      <c r="FT7" s="8">
        <v>6.3213922517116401E-7</v>
      </c>
      <c r="FU7" s="8">
        <v>2.6021139604446299E-9</v>
      </c>
      <c r="FV7" s="2">
        <v>6.2529992803453897E-3</v>
      </c>
      <c r="FW7" s="2">
        <v>0</v>
      </c>
      <c r="FX7" s="8">
        <v>3.2490625588560901E-6</v>
      </c>
      <c r="FY7" s="2">
        <v>9.2441948549119596E-3</v>
      </c>
      <c r="FZ7" s="2">
        <v>0</v>
      </c>
      <c r="GA7" s="8">
        <v>6.1712669934061603E-5</v>
      </c>
      <c r="GB7" s="2">
        <v>1.02490704319759E-2</v>
      </c>
      <c r="GC7" s="8">
        <v>6.8E-8</v>
      </c>
      <c r="GD7" s="8">
        <v>5.4211433772233295E-7</v>
      </c>
      <c r="GE7" s="2">
        <v>1.40263261984831E-2</v>
      </c>
      <c r="GF7" s="2">
        <v>1.52432705551728E-2</v>
      </c>
      <c r="GG7" s="2">
        <v>1.02176318195558E-2</v>
      </c>
      <c r="GH7" s="2">
        <v>5.1633091233467803E-3</v>
      </c>
      <c r="GI7" s="2">
        <v>2.1213203435596398E-3</v>
      </c>
      <c r="GJ7" s="2">
        <v>0</v>
      </c>
      <c r="GK7" s="2">
        <v>1.87616630392937E-3</v>
      </c>
      <c r="GL7" s="8">
        <v>6.4583997501198804E-7</v>
      </c>
      <c r="GM7" s="8">
        <v>1.52E-5</v>
      </c>
      <c r="GN7" s="8">
        <v>6.2528652183015504E-9</v>
      </c>
      <c r="GO7" s="8">
        <v>1.395E-6</v>
      </c>
      <c r="GP7" s="2">
        <v>0</v>
      </c>
      <c r="GQ7" s="8">
        <v>1.82429989565185E-8</v>
      </c>
      <c r="GR7" s="2">
        <v>1.5200000000000001E-4</v>
      </c>
      <c r="GS7" s="2">
        <v>1</v>
      </c>
      <c r="GT7" s="2">
        <v>0</v>
      </c>
      <c r="GU7" s="8">
        <v>8.0000000000000007E-5</v>
      </c>
      <c r="GV7" s="8">
        <v>8.0000000000000007E-5</v>
      </c>
      <c r="GW7" s="2">
        <v>1</v>
      </c>
      <c r="GX7" s="2">
        <v>0</v>
      </c>
      <c r="GY7" s="2">
        <v>1</v>
      </c>
      <c r="GZ7" s="2">
        <v>1</v>
      </c>
      <c r="HA7" s="2">
        <v>0</v>
      </c>
      <c r="HB7" s="2">
        <v>0</v>
      </c>
      <c r="HC7" s="8">
        <v>2.0000000000000002E-5</v>
      </c>
      <c r="HD7" s="2">
        <v>1</v>
      </c>
      <c r="HE7" s="2">
        <v>1</v>
      </c>
      <c r="HF7" s="2">
        <v>1</v>
      </c>
      <c r="HG7" s="2">
        <v>1</v>
      </c>
      <c r="HH7" s="2">
        <v>1</v>
      </c>
      <c r="HI7" s="2">
        <v>1</v>
      </c>
      <c r="HJ7" s="2">
        <v>0</v>
      </c>
      <c r="HK7" s="2">
        <v>1</v>
      </c>
      <c r="HL7" s="2">
        <v>0</v>
      </c>
      <c r="HM7" s="8">
        <v>1.9999999999999999E-6</v>
      </c>
      <c r="HN7" s="8">
        <v>4.0000000000000001E-8</v>
      </c>
      <c r="HO7" s="2">
        <v>1</v>
      </c>
      <c r="HP7" s="2">
        <v>0</v>
      </c>
      <c r="HQ7" s="2">
        <v>0</v>
      </c>
      <c r="HR7" s="8">
        <v>5.9999999999999997E-7</v>
      </c>
      <c r="HS7" s="2">
        <v>1</v>
      </c>
      <c r="HT7" s="2">
        <v>1</v>
      </c>
      <c r="HU7" s="2">
        <v>0</v>
      </c>
      <c r="HV7" s="2">
        <v>0</v>
      </c>
      <c r="HW7" s="8">
        <v>7.9999999999999996E-6</v>
      </c>
      <c r="HX7" s="2">
        <v>1</v>
      </c>
      <c r="HY7" s="2">
        <v>0</v>
      </c>
      <c r="HZ7" s="2">
        <v>2.0000000000000001E-4</v>
      </c>
      <c r="IA7" s="2">
        <v>0</v>
      </c>
      <c r="IB7" s="2">
        <v>1</v>
      </c>
      <c r="IC7" s="2">
        <v>0</v>
      </c>
      <c r="ID7" s="8">
        <v>1.9999999999999999E-6</v>
      </c>
      <c r="IE7" s="2">
        <v>0</v>
      </c>
      <c r="IF7" s="2">
        <v>0</v>
      </c>
      <c r="IG7" s="2">
        <v>0</v>
      </c>
      <c r="IH7" s="2">
        <v>1</v>
      </c>
      <c r="II7" s="2">
        <v>1</v>
      </c>
      <c r="IJ7" s="2">
        <v>0</v>
      </c>
      <c r="IK7" s="2">
        <v>0</v>
      </c>
      <c r="IL7" s="2">
        <v>1.16E-3</v>
      </c>
      <c r="IM7" s="2">
        <v>1.7357142857142799E-4</v>
      </c>
      <c r="IN7" s="2">
        <v>3.9654299999999998E-3</v>
      </c>
      <c r="IO7" s="2">
        <v>1</v>
      </c>
      <c r="IP7" s="2">
        <v>1</v>
      </c>
      <c r="IQ7" s="2">
        <v>0</v>
      </c>
      <c r="IR7" s="2">
        <v>0</v>
      </c>
      <c r="IS7" s="2">
        <v>1</v>
      </c>
      <c r="IT7" s="2">
        <v>1</v>
      </c>
      <c r="IU7" s="2">
        <v>3.0000000000000001E-3</v>
      </c>
      <c r="IV7" s="8">
        <v>3.0000000000000001E-5</v>
      </c>
      <c r="IW7" s="2">
        <v>3.15</v>
      </c>
      <c r="IX7" s="2">
        <v>3.08</v>
      </c>
      <c r="IY7" s="2">
        <v>0.52</v>
      </c>
      <c r="IZ7" s="2">
        <v>0.848907407407407</v>
      </c>
      <c r="JA7" s="2">
        <v>0.2</v>
      </c>
      <c r="JB7" s="2">
        <v>0.75</v>
      </c>
      <c r="JC7" s="2">
        <v>1.8667380952380901</v>
      </c>
      <c r="JD7" s="2">
        <v>1.43807229</v>
      </c>
      <c r="JE7" s="2">
        <v>1</v>
      </c>
      <c r="JF7" s="2">
        <v>3.7409999999999999E-2</v>
      </c>
      <c r="JG7" s="2">
        <v>6.9999999999999999E-4</v>
      </c>
      <c r="JH7" s="2">
        <v>0</v>
      </c>
      <c r="JI7" s="2">
        <v>1E-4</v>
      </c>
      <c r="JJ7" s="2">
        <v>1</v>
      </c>
      <c r="JK7" s="8">
        <v>6.0000000000000002E-6</v>
      </c>
      <c r="JL7" s="8">
        <v>6.0000000000000002E-6</v>
      </c>
      <c r="JM7" s="8">
        <v>6.0000000000000002E-6</v>
      </c>
      <c r="JN7" s="2">
        <v>0.5</v>
      </c>
      <c r="JO7" s="2">
        <v>2</v>
      </c>
      <c r="JP7" s="2">
        <v>13.315</v>
      </c>
      <c r="JQ7" s="2">
        <v>3.71</v>
      </c>
      <c r="JR7" s="2">
        <v>77</v>
      </c>
      <c r="JS7" s="2">
        <v>3.9</v>
      </c>
      <c r="JT7" s="2">
        <v>20.6</v>
      </c>
      <c r="JU7" s="2">
        <v>62</v>
      </c>
      <c r="JV7" s="2">
        <v>350</v>
      </c>
      <c r="JW7" s="2">
        <v>41</v>
      </c>
      <c r="JX7" s="2">
        <v>3.9</v>
      </c>
      <c r="JY7" s="2">
        <v>5.6</v>
      </c>
      <c r="JZ7" s="2">
        <v>0.2</v>
      </c>
      <c r="KA7" s="2">
        <v>3</v>
      </c>
      <c r="KB7" s="2">
        <v>4.1500000000000004</v>
      </c>
      <c r="KC7" s="2">
        <v>350</v>
      </c>
      <c r="KD7" s="2">
        <v>28.6</v>
      </c>
      <c r="KE7" s="2">
        <v>3</v>
      </c>
      <c r="KF7" s="2">
        <v>4.1500000000000004</v>
      </c>
      <c r="KG7" s="2">
        <v>350</v>
      </c>
      <c r="KH7" s="2">
        <v>28.6</v>
      </c>
      <c r="KI7" s="2">
        <v>3</v>
      </c>
      <c r="KJ7" s="2">
        <v>77</v>
      </c>
      <c r="KK7" s="2">
        <v>3.9</v>
      </c>
      <c r="KL7" s="2">
        <v>20.6</v>
      </c>
      <c r="KM7" s="2">
        <v>62</v>
      </c>
      <c r="KN7" s="2">
        <v>350</v>
      </c>
      <c r="KO7" s="2">
        <v>41</v>
      </c>
      <c r="KP7" s="2">
        <v>3.9</v>
      </c>
      <c r="KQ7" s="2">
        <v>5.6</v>
      </c>
      <c r="KR7" s="2">
        <v>0.2</v>
      </c>
      <c r="KS7" s="2">
        <v>3</v>
      </c>
      <c r="KT7" s="2">
        <v>77</v>
      </c>
      <c r="KU7" s="2">
        <v>3.9</v>
      </c>
      <c r="KV7" s="2">
        <v>20.6</v>
      </c>
      <c r="KW7" s="2">
        <v>62</v>
      </c>
      <c r="KX7" s="2">
        <v>350</v>
      </c>
      <c r="KY7" s="2">
        <v>41</v>
      </c>
      <c r="KZ7" s="2">
        <v>3.9</v>
      </c>
      <c r="LA7" s="2">
        <v>5.6</v>
      </c>
      <c r="LB7" s="2">
        <v>0.2</v>
      </c>
      <c r="LC7" s="2">
        <v>3</v>
      </c>
      <c r="LD7" s="2">
        <v>18</v>
      </c>
      <c r="LE7" s="2">
        <v>3.9</v>
      </c>
      <c r="LF7" s="2">
        <v>20.6</v>
      </c>
      <c r="LG7" s="2">
        <v>62</v>
      </c>
      <c r="LH7" s="2">
        <v>41</v>
      </c>
      <c r="LI7" s="2">
        <v>3.9</v>
      </c>
      <c r="LJ7" s="2">
        <v>5.6</v>
      </c>
      <c r="LK7" s="2">
        <v>0.2</v>
      </c>
      <c r="LL7" s="2">
        <v>7</v>
      </c>
      <c r="LM7" s="2">
        <v>350</v>
      </c>
      <c r="LN7" s="2">
        <v>2</v>
      </c>
      <c r="LO7" s="2">
        <v>3</v>
      </c>
      <c r="LP7" s="2">
        <v>0.95</v>
      </c>
      <c r="LQ7" s="2">
        <v>0.8</v>
      </c>
      <c r="LR7" s="2">
        <v>0.8</v>
      </c>
      <c r="LS7" s="2">
        <v>0.6</v>
      </c>
      <c r="LT7" s="2">
        <v>0.78</v>
      </c>
      <c r="LU7" s="2">
        <v>0.6</v>
      </c>
      <c r="LV7" s="2">
        <v>0.82</v>
      </c>
      <c r="LW7" s="2">
        <v>3.2</v>
      </c>
      <c r="LX7" s="2">
        <v>0.8</v>
      </c>
      <c r="LY7" s="2">
        <v>0.85</v>
      </c>
      <c r="LZ7" s="2">
        <v>0.75</v>
      </c>
      <c r="MA7" s="2">
        <v>0.8</v>
      </c>
      <c r="MB7" s="2">
        <v>0.8</v>
      </c>
      <c r="MC7" s="2">
        <v>0.8</v>
      </c>
      <c r="MD7" s="2">
        <v>0.82</v>
      </c>
      <c r="ME7" s="2">
        <v>0.2</v>
      </c>
      <c r="MF7" s="2">
        <v>0.33500000000000002</v>
      </c>
      <c r="MG7" s="2">
        <v>0.14000000000000001</v>
      </c>
      <c r="MH7" s="2">
        <v>0.45</v>
      </c>
      <c r="MI7" s="2">
        <v>0.45</v>
      </c>
      <c r="MJ7" s="2">
        <v>0.4</v>
      </c>
      <c r="MK7" s="2">
        <v>0.4</v>
      </c>
      <c r="ML7" s="2">
        <v>1</v>
      </c>
      <c r="MM7" s="2">
        <v>0.85499999999999998</v>
      </c>
      <c r="MN7" s="2">
        <v>2.7000000000000001E-3</v>
      </c>
      <c r="MO7" s="2">
        <v>1</v>
      </c>
      <c r="MP7" s="2">
        <v>0.22</v>
      </c>
      <c r="MQ7" s="2">
        <v>0.23</v>
      </c>
      <c r="MR7" s="2">
        <v>0.22</v>
      </c>
      <c r="MS7" s="2">
        <v>0.4</v>
      </c>
      <c r="MT7" s="2">
        <v>0.8</v>
      </c>
      <c r="MU7" s="2">
        <v>0.75</v>
      </c>
      <c r="MV7" s="2">
        <v>0.85</v>
      </c>
      <c r="MW7" s="2">
        <v>0.75</v>
      </c>
      <c r="MX7" s="2">
        <v>0.6</v>
      </c>
      <c r="MY7" s="2">
        <v>0.82</v>
      </c>
      <c r="MZ7" s="2">
        <v>0.98</v>
      </c>
      <c r="NA7" s="2">
        <v>0.75</v>
      </c>
      <c r="NB7" s="2">
        <v>0.75</v>
      </c>
      <c r="NC7" s="2">
        <v>0.8</v>
      </c>
      <c r="ND7" s="2">
        <v>0.82</v>
      </c>
      <c r="NE7" s="2">
        <v>0.8</v>
      </c>
      <c r="NF7" s="2">
        <v>0.7</v>
      </c>
      <c r="NG7" s="2">
        <v>0.6</v>
      </c>
      <c r="NH7" s="2">
        <v>0.75</v>
      </c>
      <c r="NI7" s="2">
        <v>2.4</v>
      </c>
      <c r="NJ7" s="2">
        <v>0.75</v>
      </c>
      <c r="NK7" s="2">
        <v>0.75</v>
      </c>
      <c r="NL7" s="2">
        <v>0.8</v>
      </c>
      <c r="NM7" s="2">
        <v>0.75</v>
      </c>
      <c r="NN7" s="2">
        <v>0.8</v>
      </c>
      <c r="NO7" s="2">
        <v>0.64</v>
      </c>
      <c r="NP7" s="2">
        <v>0.6</v>
      </c>
      <c r="NQ7" s="2">
        <v>0.75</v>
      </c>
      <c r="NR7" s="2">
        <v>3.2</v>
      </c>
      <c r="NS7" s="2">
        <v>0.75</v>
      </c>
      <c r="NT7" s="2">
        <v>0.75</v>
      </c>
      <c r="NU7" s="2">
        <v>0.8</v>
      </c>
      <c r="NV7" s="2">
        <v>0.6</v>
      </c>
      <c r="NW7" s="2">
        <v>0.8</v>
      </c>
      <c r="NX7" s="2">
        <v>0.1</v>
      </c>
      <c r="OY7" s="2">
        <v>0.13300000000000001</v>
      </c>
      <c r="OZ7" s="2">
        <v>50</v>
      </c>
      <c r="PA7" s="2">
        <v>1.3376999999999999</v>
      </c>
      <c r="PB7" s="2">
        <v>1.3368169646517301E-2</v>
      </c>
      <c r="PC7" s="2">
        <v>6.1813186813186802E-2</v>
      </c>
      <c r="PD7" s="2">
        <v>0.95550000000000002</v>
      </c>
      <c r="PE7" s="2">
        <v>0</v>
      </c>
      <c r="PF7" s="2">
        <v>5</v>
      </c>
      <c r="PG7" s="2">
        <v>2.4500000000000001E-2</v>
      </c>
      <c r="PI7" s="2">
        <v>8</v>
      </c>
      <c r="PJ7" s="2">
        <v>28.95</v>
      </c>
      <c r="PK7" s="2">
        <v>2.8000000000000001E-2</v>
      </c>
      <c r="PL7" s="2">
        <v>3.9</v>
      </c>
      <c r="PM7" s="2">
        <v>22.5</v>
      </c>
      <c r="PN7" s="2">
        <v>22.96</v>
      </c>
      <c r="PO7" s="2">
        <v>38</v>
      </c>
      <c r="PP7" s="2">
        <v>36.4</v>
      </c>
      <c r="PQ7" s="2">
        <v>3.5000000000000001E-3</v>
      </c>
      <c r="PR7" s="2">
        <v>35</v>
      </c>
      <c r="PS7" s="2">
        <v>3.8300000000000001E-2</v>
      </c>
      <c r="PT7" s="2">
        <v>8</v>
      </c>
      <c r="PU7" s="2">
        <v>32</v>
      </c>
      <c r="PV7" s="2">
        <v>3.8300000000000001E-2</v>
      </c>
      <c r="PW7" s="2">
        <v>38</v>
      </c>
      <c r="PX7" s="2">
        <v>30.58</v>
      </c>
      <c r="PY7" s="2">
        <v>13</v>
      </c>
      <c r="PZ7" s="2">
        <v>23.64</v>
      </c>
      <c r="QA7" s="2">
        <v>26.28</v>
      </c>
      <c r="QB7" s="5">
        <v>48</v>
      </c>
      <c r="QC7" s="2">
        <v>130.739</v>
      </c>
      <c r="QD7" s="2">
        <v>79810000</v>
      </c>
      <c r="QE7" s="2">
        <v>8</v>
      </c>
      <c r="QF7" s="2">
        <v>3</v>
      </c>
      <c r="QG7" s="2">
        <v>2</v>
      </c>
      <c r="QH7" s="2">
        <v>2</v>
      </c>
      <c r="QI7" s="2">
        <v>1</v>
      </c>
      <c r="QJ7" s="2">
        <v>0.5</v>
      </c>
      <c r="QK7" s="2">
        <v>0.25</v>
      </c>
      <c r="QL7" s="2">
        <v>0.5</v>
      </c>
      <c r="QM7" s="2">
        <v>1</v>
      </c>
      <c r="QN7" s="2">
        <v>0.5</v>
      </c>
      <c r="QO7" s="2">
        <v>0.2</v>
      </c>
      <c r="QP7" s="2">
        <v>0.2</v>
      </c>
      <c r="QQ7" s="2">
        <v>0.8</v>
      </c>
      <c r="QR7" s="2">
        <v>1.18527760449157E-2</v>
      </c>
      <c r="QS7" s="2">
        <v>9.9812850904553892E-3</v>
      </c>
      <c r="QT7" s="2">
        <v>0.97816593886462799</v>
      </c>
      <c r="QU7" s="2">
        <v>0.19</v>
      </c>
      <c r="QV7" s="2">
        <v>0.13700000000000001</v>
      </c>
      <c r="QW7" s="2">
        <v>0.30299999999999999</v>
      </c>
      <c r="QX7" s="2">
        <v>0</v>
      </c>
      <c r="QY7" s="2">
        <v>0.216</v>
      </c>
      <c r="QZ7" s="2">
        <v>0.1</v>
      </c>
      <c r="RA7" s="2">
        <v>2.5000000000000001E-2</v>
      </c>
      <c r="RB7" s="2">
        <v>0.05</v>
      </c>
      <c r="RC7" s="2">
        <v>0.2</v>
      </c>
      <c r="RD7" s="2">
        <v>0.04</v>
      </c>
      <c r="RE7" s="2">
        <v>0</v>
      </c>
      <c r="RF7" s="2">
        <v>0</v>
      </c>
      <c r="RG7" s="2">
        <v>7.4999999999999997E-2</v>
      </c>
      <c r="RH7" s="2">
        <v>-999</v>
      </c>
      <c r="RI7" s="2">
        <v>-999</v>
      </c>
      <c r="RJ7" s="2">
        <v>-999</v>
      </c>
      <c r="RK7" s="2">
        <v>-999</v>
      </c>
      <c r="RL7" s="2">
        <v>-999</v>
      </c>
      <c r="RM7" s="2">
        <v>-999</v>
      </c>
      <c r="RN7" s="2">
        <v>-999</v>
      </c>
      <c r="RO7" s="2">
        <v>-999</v>
      </c>
      <c r="RP7" s="2">
        <v>-999</v>
      </c>
      <c r="RQ7" s="2">
        <v>-999</v>
      </c>
      <c r="RR7" s="2">
        <v>-999</v>
      </c>
      <c r="RS7" s="2">
        <v>-999</v>
      </c>
      <c r="RT7" s="2">
        <v>-999</v>
      </c>
      <c r="RU7" s="2">
        <v>-999</v>
      </c>
      <c r="RV7" s="2">
        <v>8.6999999999999994E-2</v>
      </c>
      <c r="RW7" s="2">
        <v>8.6999999999999994E-2</v>
      </c>
      <c r="RX7" s="2">
        <v>0</v>
      </c>
      <c r="RZ7" s="2">
        <v>0</v>
      </c>
      <c r="SA7" s="2">
        <v>0</v>
      </c>
      <c r="SB7" s="2">
        <v>0.31</v>
      </c>
      <c r="SC7" s="2">
        <v>0.03</v>
      </c>
      <c r="SD7" s="2">
        <v>0</v>
      </c>
      <c r="SE7" s="2">
        <v>0.31</v>
      </c>
      <c r="SF7" s="2">
        <v>0</v>
      </c>
      <c r="SG7" s="2">
        <v>0</v>
      </c>
      <c r="SH7" s="2">
        <v>0.32</v>
      </c>
      <c r="SI7" s="2">
        <v>0</v>
      </c>
      <c r="SJ7" s="2">
        <v>0</v>
      </c>
      <c r="SK7" s="2">
        <v>0.03</v>
      </c>
      <c r="SL7" s="2">
        <v>0</v>
      </c>
      <c r="SM7" s="2">
        <v>0.67</v>
      </c>
      <c r="SN7" s="2">
        <v>0</v>
      </c>
      <c r="SO7" s="2">
        <v>0.01</v>
      </c>
      <c r="SP7" s="2">
        <v>0.3</v>
      </c>
      <c r="SQ7" s="2">
        <v>0</v>
      </c>
      <c r="SR7" s="2">
        <v>0</v>
      </c>
      <c r="SS7" s="2">
        <v>0</v>
      </c>
      <c r="ST7" s="2">
        <v>0</v>
      </c>
      <c r="SU7" s="2">
        <v>0</v>
      </c>
      <c r="SV7" s="2">
        <v>0</v>
      </c>
      <c r="SW7" s="2">
        <v>0</v>
      </c>
      <c r="SX7" s="2">
        <v>0.02</v>
      </c>
      <c r="SY7" s="2">
        <v>0</v>
      </c>
      <c r="SZ7" s="2">
        <v>0</v>
      </c>
      <c r="TA7" s="2">
        <v>0</v>
      </c>
      <c r="TB7" s="2">
        <v>0.01</v>
      </c>
      <c r="TC7" s="2">
        <v>0.38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0.6</v>
      </c>
      <c r="TK7" s="2">
        <v>0.01</v>
      </c>
      <c r="TL7" s="2">
        <v>0</v>
      </c>
      <c r="TM7" s="2">
        <v>0</v>
      </c>
      <c r="TN7" s="2">
        <v>0</v>
      </c>
      <c r="TO7" s="2">
        <v>0.11</v>
      </c>
      <c r="TP7" s="2">
        <v>0.88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0.01</v>
      </c>
      <c r="TY7" s="2">
        <v>0</v>
      </c>
      <c r="TZ7" s="2">
        <v>0</v>
      </c>
      <c r="UA7" s="2">
        <v>0</v>
      </c>
      <c r="UB7" s="2">
        <v>0.01</v>
      </c>
      <c r="UC7" s="2">
        <v>0.22900000000000001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0.76</v>
      </c>
      <c r="UK7" s="2">
        <v>1E-3</v>
      </c>
      <c r="UL7" s="2">
        <v>0</v>
      </c>
      <c r="UM7" s="2">
        <v>0</v>
      </c>
      <c r="UN7" s="2">
        <v>0.4</v>
      </c>
      <c r="UO7" s="2">
        <v>0</v>
      </c>
      <c r="UP7" s="2">
        <v>0</v>
      </c>
      <c r="UQ7" s="2">
        <v>0</v>
      </c>
      <c r="UR7" s="2">
        <v>0</v>
      </c>
      <c r="US7" s="2">
        <v>0</v>
      </c>
      <c r="UT7" s="2">
        <v>0</v>
      </c>
      <c r="UU7" s="2">
        <v>0</v>
      </c>
      <c r="UV7" s="2">
        <v>0.2</v>
      </c>
      <c r="UW7" s="2">
        <v>0</v>
      </c>
      <c r="UX7" s="2">
        <v>0</v>
      </c>
      <c r="UY7" s="2">
        <v>1.2E-2</v>
      </c>
      <c r="UZ7" s="2">
        <v>0</v>
      </c>
      <c r="VA7" s="2">
        <v>0</v>
      </c>
      <c r="VB7" s="2">
        <v>0.11899999999999999</v>
      </c>
      <c r="VC7" s="2">
        <v>0.73</v>
      </c>
      <c r="VE7" s="2">
        <v>0</v>
      </c>
      <c r="VF7" s="2">
        <v>0</v>
      </c>
      <c r="VG7" s="2">
        <v>0</v>
      </c>
      <c r="VH7" s="2">
        <v>0</v>
      </c>
      <c r="VJ7" s="2">
        <v>0.15</v>
      </c>
      <c r="VK7" s="2">
        <v>1E-3</v>
      </c>
      <c r="VL7" s="2">
        <v>0</v>
      </c>
      <c r="VM7" s="2">
        <v>0</v>
      </c>
      <c r="VN7" s="2">
        <v>0</v>
      </c>
      <c r="VO7" s="2">
        <v>0.21</v>
      </c>
      <c r="VP7" s="2">
        <v>0.78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X7" s="2">
        <v>0</v>
      </c>
      <c r="VY7" s="2">
        <v>0.01</v>
      </c>
      <c r="VZ7" s="2">
        <v>0</v>
      </c>
      <c r="WA7" s="2">
        <v>0</v>
      </c>
      <c r="WB7" s="2">
        <v>0</v>
      </c>
      <c r="WC7" s="2">
        <v>0.05</v>
      </c>
      <c r="WD7" s="2">
        <v>0.11</v>
      </c>
      <c r="WE7" s="2">
        <v>0</v>
      </c>
      <c r="WF7" s="2">
        <v>0</v>
      </c>
      <c r="WG7" s="2">
        <v>0</v>
      </c>
      <c r="WH7" s="2">
        <v>0</v>
      </c>
      <c r="WI7" s="2">
        <v>0</v>
      </c>
      <c r="WJ7" s="2">
        <v>0</v>
      </c>
      <c r="WK7" s="2">
        <v>0</v>
      </c>
      <c r="WL7" s="2">
        <v>1E-3</v>
      </c>
      <c r="WM7" s="2">
        <v>0.83899999999999997</v>
      </c>
      <c r="WN7" s="2">
        <v>0</v>
      </c>
      <c r="WO7" s="2">
        <v>0</v>
      </c>
      <c r="WP7" s="2">
        <v>0</v>
      </c>
      <c r="WQ7" s="2">
        <v>0.26</v>
      </c>
      <c r="WR7" s="2">
        <v>0</v>
      </c>
      <c r="WS7" s="2">
        <v>0</v>
      </c>
      <c r="WT7" s="2">
        <v>0</v>
      </c>
      <c r="WU7" s="2">
        <v>0</v>
      </c>
      <c r="WV7" s="2">
        <v>0</v>
      </c>
      <c r="WW7" s="2">
        <v>0</v>
      </c>
      <c r="WX7" s="2">
        <v>0</v>
      </c>
      <c r="WY7" s="2">
        <v>0.01</v>
      </c>
      <c r="WZ7" s="2">
        <v>0.73</v>
      </c>
      <c r="XA7" s="2">
        <v>0</v>
      </c>
      <c r="XB7" s="2">
        <v>0</v>
      </c>
      <c r="XC7" s="2">
        <v>0</v>
      </c>
      <c r="XD7" s="2">
        <v>0.44</v>
      </c>
      <c r="XE7" s="2">
        <v>0</v>
      </c>
      <c r="XF7" s="2">
        <v>0</v>
      </c>
      <c r="XG7" s="2">
        <v>0</v>
      </c>
      <c r="XH7" s="2">
        <v>0</v>
      </c>
      <c r="XI7" s="2">
        <v>0</v>
      </c>
      <c r="XJ7" s="2">
        <v>0</v>
      </c>
      <c r="XK7" s="2">
        <v>0.4</v>
      </c>
      <c r="XL7" s="2">
        <v>0.01</v>
      </c>
      <c r="XM7" s="2">
        <v>0.15</v>
      </c>
      <c r="XN7" s="2">
        <v>0</v>
      </c>
      <c r="XO7" s="2">
        <v>0</v>
      </c>
      <c r="XP7" s="2">
        <v>0</v>
      </c>
      <c r="XQ7" s="2">
        <v>0.2</v>
      </c>
      <c r="XR7" s="2">
        <v>0</v>
      </c>
      <c r="XS7" s="2">
        <v>0</v>
      </c>
      <c r="XT7" s="2">
        <v>0</v>
      </c>
      <c r="XU7" s="2">
        <v>0</v>
      </c>
      <c r="XV7" s="2">
        <v>0</v>
      </c>
      <c r="XW7" s="2">
        <v>0.1</v>
      </c>
      <c r="XX7" s="2">
        <v>0.63</v>
      </c>
      <c r="XY7" s="2">
        <v>7.0000000000000007E-2</v>
      </c>
      <c r="XZ7" s="2">
        <v>0</v>
      </c>
      <c r="YA7" s="2">
        <v>0</v>
      </c>
      <c r="YB7" s="2">
        <v>0</v>
      </c>
      <c r="YC7" s="2">
        <v>0.11899999999999999</v>
      </c>
      <c r="YD7" s="2">
        <v>0.73</v>
      </c>
      <c r="YF7" s="2">
        <v>0</v>
      </c>
      <c r="YG7" s="2">
        <v>0</v>
      </c>
      <c r="YH7" s="2">
        <v>0</v>
      </c>
      <c r="YI7" s="2">
        <v>0</v>
      </c>
      <c r="YK7" s="2">
        <v>0.15</v>
      </c>
      <c r="YL7" s="2">
        <v>1E-3</v>
      </c>
      <c r="YM7" s="2">
        <v>0</v>
      </c>
      <c r="YN7" s="2">
        <v>0</v>
      </c>
      <c r="YO7" s="2">
        <v>0</v>
      </c>
      <c r="YP7" s="2">
        <v>0</v>
      </c>
      <c r="YQ7" s="2">
        <v>0.26</v>
      </c>
      <c r="YR7" s="2">
        <v>0</v>
      </c>
      <c r="YS7" s="2">
        <v>0</v>
      </c>
      <c r="YT7" s="2">
        <v>0</v>
      </c>
      <c r="YU7" s="2">
        <v>0</v>
      </c>
      <c r="YV7" s="2">
        <v>0</v>
      </c>
      <c r="YW7" s="2">
        <v>0</v>
      </c>
      <c r="YX7" s="2">
        <v>0</v>
      </c>
      <c r="YY7" s="2">
        <v>0.01</v>
      </c>
      <c r="YZ7" s="2">
        <v>0.73</v>
      </c>
      <c r="ZA7" s="2">
        <v>0</v>
      </c>
      <c r="ZB7" s="2">
        <v>0</v>
      </c>
      <c r="ZC7" s="2">
        <v>0</v>
      </c>
      <c r="ZD7" s="2">
        <v>0.44</v>
      </c>
      <c r="ZE7" s="2">
        <v>0</v>
      </c>
      <c r="ZF7" s="2">
        <v>0</v>
      </c>
      <c r="ZG7" s="2">
        <v>0</v>
      </c>
      <c r="ZH7" s="2">
        <v>0</v>
      </c>
      <c r="ZI7" s="2">
        <v>0</v>
      </c>
      <c r="ZJ7" s="2">
        <v>0</v>
      </c>
      <c r="ZK7" s="2">
        <v>0.4</v>
      </c>
      <c r="ZL7" s="2">
        <v>0.01</v>
      </c>
      <c r="ZM7" s="2">
        <v>0.15</v>
      </c>
      <c r="ZN7" s="2">
        <v>0</v>
      </c>
      <c r="ZO7" s="2">
        <v>0</v>
      </c>
      <c r="ZP7" s="2">
        <v>0.01</v>
      </c>
      <c r="ZQ7" s="2">
        <v>0.45</v>
      </c>
      <c r="ZR7" s="2">
        <v>0</v>
      </c>
      <c r="ZS7" s="2">
        <v>0</v>
      </c>
      <c r="ZT7" s="2">
        <v>0</v>
      </c>
      <c r="ZU7" s="2">
        <v>0</v>
      </c>
      <c r="ZV7" s="2">
        <v>0</v>
      </c>
      <c r="ZW7" s="2">
        <v>0</v>
      </c>
      <c r="ZX7" s="2">
        <v>0.14000000000000001</v>
      </c>
      <c r="ZY7" s="2">
        <v>1.6E-2</v>
      </c>
      <c r="ZZ7" s="2">
        <v>0.38400000000000001</v>
      </c>
      <c r="AAA7" s="2">
        <v>0.1</v>
      </c>
      <c r="AAB7" s="2">
        <v>0</v>
      </c>
      <c r="AAC7" s="2">
        <v>0.01</v>
      </c>
      <c r="AAD7" s="2">
        <v>0.38</v>
      </c>
      <c r="AAE7" s="2">
        <v>0</v>
      </c>
      <c r="AAF7" s="2">
        <v>0</v>
      </c>
      <c r="AAG7" s="2">
        <v>0</v>
      </c>
      <c r="AAH7" s="2">
        <v>0</v>
      </c>
      <c r="AAI7" s="2">
        <v>0</v>
      </c>
      <c r="AAJ7" s="2">
        <v>0</v>
      </c>
      <c r="AAK7" s="2">
        <v>6.9000000000000006E-2</v>
      </c>
      <c r="AAL7" s="2">
        <v>1E-3</v>
      </c>
      <c r="AAM7" s="2">
        <v>0.44</v>
      </c>
      <c r="AAN7" s="2">
        <v>0</v>
      </c>
      <c r="AAO7" s="2">
        <v>0</v>
      </c>
      <c r="AAP7" s="2">
        <v>0</v>
      </c>
      <c r="AAQ7" s="2">
        <v>0.12</v>
      </c>
      <c r="AAR7" s="2">
        <v>0</v>
      </c>
      <c r="AAS7" s="2">
        <v>0</v>
      </c>
      <c r="AAT7" s="2">
        <v>0</v>
      </c>
      <c r="AAU7" s="2">
        <v>0</v>
      </c>
      <c r="AAV7" s="2">
        <v>0</v>
      </c>
      <c r="AAW7" s="2">
        <v>0</v>
      </c>
      <c r="AAX7" s="2">
        <v>0.18</v>
      </c>
      <c r="AAY7" s="2">
        <v>0.01</v>
      </c>
      <c r="AAZ7" s="2">
        <v>0.69</v>
      </c>
      <c r="ABA7" s="2">
        <v>0</v>
      </c>
      <c r="ABB7" s="2">
        <v>0</v>
      </c>
      <c r="ABC7" s="2">
        <v>0.01</v>
      </c>
      <c r="ABD7" s="2">
        <v>0.45</v>
      </c>
      <c r="ABE7" s="2">
        <v>0</v>
      </c>
      <c r="ABF7" s="2">
        <v>0</v>
      </c>
      <c r="ABG7" s="2">
        <v>0</v>
      </c>
      <c r="ABH7" s="2">
        <v>0</v>
      </c>
      <c r="ABI7" s="2">
        <v>0</v>
      </c>
      <c r="ABJ7" s="2">
        <v>0</v>
      </c>
      <c r="ABK7" s="2">
        <v>0.14000000000000001</v>
      </c>
      <c r="ABL7" s="2">
        <v>1.6E-2</v>
      </c>
      <c r="ABM7" s="2">
        <v>0.38400000000000001</v>
      </c>
      <c r="ABN7" s="2">
        <v>0.1</v>
      </c>
      <c r="ABO7" s="2">
        <v>0</v>
      </c>
      <c r="ABP7" s="2">
        <v>0.01</v>
      </c>
      <c r="ABQ7" s="2">
        <v>0.38</v>
      </c>
      <c r="ABR7" s="2">
        <v>0</v>
      </c>
      <c r="ABS7" s="2">
        <v>0</v>
      </c>
      <c r="ABT7" s="2">
        <v>0</v>
      </c>
      <c r="ABU7" s="2">
        <v>0</v>
      </c>
      <c r="ABV7" s="2">
        <v>0</v>
      </c>
      <c r="ABW7" s="2">
        <v>0</v>
      </c>
      <c r="ABX7" s="2">
        <v>6.9000000000000006E-2</v>
      </c>
      <c r="ABY7" s="2">
        <v>1E-3</v>
      </c>
      <c r="ABZ7" s="2">
        <v>0.44</v>
      </c>
      <c r="ACA7" s="2">
        <v>0</v>
      </c>
      <c r="ACB7" s="2">
        <v>0</v>
      </c>
      <c r="ACC7" s="2">
        <v>0</v>
      </c>
      <c r="ACD7" s="2">
        <v>0.12</v>
      </c>
      <c r="ACE7" s="2">
        <v>0</v>
      </c>
      <c r="ACF7" s="2">
        <v>0</v>
      </c>
      <c r="ACG7" s="2">
        <v>0</v>
      </c>
      <c r="ACH7" s="2">
        <v>0</v>
      </c>
      <c r="ACI7" s="2">
        <v>0</v>
      </c>
      <c r="ACJ7" s="2">
        <v>0</v>
      </c>
      <c r="ACK7" s="2">
        <v>0.18</v>
      </c>
      <c r="ACL7" s="2">
        <v>0.01</v>
      </c>
      <c r="ACM7" s="2">
        <v>0.69</v>
      </c>
      <c r="ACU7" s="2">
        <v>0</v>
      </c>
      <c r="ACV7" s="2">
        <v>0</v>
      </c>
      <c r="ACW7" s="2">
        <v>0.8</v>
      </c>
      <c r="ACX7" s="2">
        <v>0</v>
      </c>
      <c r="ACY7" s="2">
        <v>0</v>
      </c>
      <c r="ACZ7" s="2">
        <v>0</v>
      </c>
      <c r="ADA7" s="2">
        <v>0</v>
      </c>
      <c r="ADB7" s="2">
        <v>0.19</v>
      </c>
      <c r="ADC7" s="2">
        <v>0.01</v>
      </c>
      <c r="ADD7" s="2">
        <v>0</v>
      </c>
      <c r="ADE7" s="2">
        <v>0</v>
      </c>
      <c r="ADF7" s="2">
        <v>1</v>
      </c>
      <c r="ADG7" s="2">
        <v>0</v>
      </c>
      <c r="ADH7" s="2">
        <v>0</v>
      </c>
      <c r="ADI7" s="2">
        <v>0</v>
      </c>
      <c r="ADJ7" s="2">
        <v>0</v>
      </c>
      <c r="ADK7" s="2">
        <v>0</v>
      </c>
      <c r="ADL7" s="2">
        <v>0</v>
      </c>
      <c r="ADM7" s="2">
        <v>0</v>
      </c>
      <c r="ADN7" s="2">
        <v>0</v>
      </c>
      <c r="ADO7" s="2">
        <v>0.28000000000000003</v>
      </c>
      <c r="ADP7" s="2">
        <v>0</v>
      </c>
      <c r="ADQ7" s="2">
        <v>0</v>
      </c>
      <c r="ADR7" s="2">
        <v>0</v>
      </c>
      <c r="ADS7" s="2">
        <v>0.1</v>
      </c>
      <c r="ADT7" s="2">
        <v>0.06</v>
      </c>
      <c r="ADU7" s="2">
        <v>0.56000000000000005</v>
      </c>
      <c r="ADV7" s="2">
        <v>0</v>
      </c>
      <c r="ADW7" s="2">
        <v>0</v>
      </c>
      <c r="ADX7" s="2">
        <v>1</v>
      </c>
      <c r="ADY7" s="2">
        <v>0.1</v>
      </c>
      <c r="ADZ7" s="2">
        <v>0.9</v>
      </c>
      <c r="AEA7" s="2">
        <v>0</v>
      </c>
      <c r="AEB7" s="2">
        <v>1</v>
      </c>
      <c r="AEC7" s="2">
        <v>0</v>
      </c>
      <c r="AED7" s="2">
        <v>0</v>
      </c>
      <c r="AEE7" s="2">
        <v>0</v>
      </c>
      <c r="AEF7" s="2">
        <v>0</v>
      </c>
      <c r="AEG7" s="2">
        <v>0</v>
      </c>
      <c r="AEH7" s="2">
        <v>1</v>
      </c>
      <c r="AEI7" s="2">
        <v>0</v>
      </c>
      <c r="AEJ7" s="2">
        <v>0</v>
      </c>
      <c r="AEK7" s="2">
        <v>0</v>
      </c>
      <c r="AEL7" s="2">
        <v>1</v>
      </c>
      <c r="AEM7" s="2">
        <v>0</v>
      </c>
      <c r="AEN7" s="2">
        <v>0</v>
      </c>
      <c r="AEO7" s="2">
        <v>0</v>
      </c>
      <c r="AEP7" s="2">
        <v>0</v>
      </c>
      <c r="AEQ7" s="2">
        <v>1</v>
      </c>
      <c r="AER7" s="2">
        <v>0</v>
      </c>
      <c r="AES7" s="2">
        <v>0</v>
      </c>
      <c r="AET7" s="2">
        <v>0</v>
      </c>
      <c r="AEU7" s="2">
        <v>0</v>
      </c>
      <c r="AEV7" s="2">
        <v>0</v>
      </c>
      <c r="AEW7" s="2">
        <v>0.01</v>
      </c>
      <c r="AEX7" s="2">
        <v>0</v>
      </c>
      <c r="AEY7" s="2">
        <v>0</v>
      </c>
      <c r="AEZ7" s="2">
        <v>0</v>
      </c>
      <c r="AFA7" s="2">
        <v>0</v>
      </c>
      <c r="AFB7" s="2">
        <v>0</v>
      </c>
      <c r="AFC7" s="2">
        <v>0</v>
      </c>
      <c r="AFD7" s="2">
        <v>0</v>
      </c>
      <c r="AFE7" s="2">
        <v>0.3</v>
      </c>
      <c r="AFF7" s="2">
        <v>0</v>
      </c>
      <c r="AFG7" s="2">
        <v>0.7</v>
      </c>
      <c r="AFH7" s="2">
        <v>0</v>
      </c>
      <c r="AFI7" s="2">
        <v>0</v>
      </c>
      <c r="AFJ7" s="2">
        <v>0</v>
      </c>
      <c r="AFK7" s="2">
        <v>0</v>
      </c>
      <c r="AFL7" s="2">
        <v>0</v>
      </c>
      <c r="AFM7" s="2">
        <v>0</v>
      </c>
      <c r="AGB7" s="2">
        <v>0.37380000000000002</v>
      </c>
      <c r="AGC7" s="2">
        <v>0.26700000000000002</v>
      </c>
      <c r="AGD7" s="2">
        <v>60</v>
      </c>
      <c r="AGE7" s="2">
        <v>3.5</v>
      </c>
      <c r="AGF7" s="2">
        <v>3.8</v>
      </c>
      <c r="AGG7" s="2">
        <v>2.6753999999999998</v>
      </c>
      <c r="AGH7" s="2">
        <v>2.474745</v>
      </c>
      <c r="AGI7" s="2">
        <v>3.746</v>
      </c>
      <c r="AGJ7" s="2">
        <v>3.5</v>
      </c>
      <c r="AGK7" s="2">
        <v>0.28999999999999998</v>
      </c>
      <c r="AGL7" s="2">
        <v>0.10199999999999999</v>
      </c>
      <c r="AGM7" s="2">
        <v>0.1</v>
      </c>
      <c r="AGN7" s="2">
        <v>0.28999999999999998</v>
      </c>
      <c r="AGO7" s="2">
        <v>0.224</v>
      </c>
      <c r="AGP7" s="2">
        <v>0.21</v>
      </c>
      <c r="AGQ7" s="2">
        <v>2.5</v>
      </c>
      <c r="AGR7" s="2">
        <v>3</v>
      </c>
      <c r="AGS7" s="2">
        <v>1.911</v>
      </c>
      <c r="AGT7" s="2">
        <v>1.7676750000000001</v>
      </c>
      <c r="AGU7" s="2">
        <v>0.26800000000000002</v>
      </c>
      <c r="AGV7" s="2">
        <v>2.5</v>
      </c>
      <c r="AGW7" s="2">
        <v>3.5</v>
      </c>
      <c r="AGX7" s="2">
        <v>3.8219999999999898</v>
      </c>
      <c r="AGY7" s="2">
        <v>2.6753999999999998</v>
      </c>
      <c r="AGZ7" s="2">
        <v>2.474745</v>
      </c>
      <c r="AHA7" s="2">
        <v>3.746</v>
      </c>
      <c r="AHB7" s="2">
        <v>3.5</v>
      </c>
      <c r="AHC7" s="2">
        <v>11</v>
      </c>
      <c r="AHD7" s="2">
        <v>13</v>
      </c>
      <c r="AHE7" s="2">
        <v>16</v>
      </c>
      <c r="AHF7" s="2">
        <v>9.25</v>
      </c>
      <c r="AHG7" s="2">
        <v>14</v>
      </c>
      <c r="AHH7" s="2">
        <v>7.0000000000000007E-2</v>
      </c>
      <c r="AHI7" s="2">
        <v>1.02</v>
      </c>
      <c r="AHJ7" s="2">
        <v>0.1</v>
      </c>
      <c r="AHK7" s="2">
        <v>0</v>
      </c>
      <c r="AHL7" s="2">
        <v>0</v>
      </c>
      <c r="AHM7" s="2">
        <v>0</v>
      </c>
      <c r="AHN7" s="2">
        <v>0</v>
      </c>
      <c r="AHO7" s="2">
        <v>0</v>
      </c>
      <c r="AHP7" s="2">
        <v>0</v>
      </c>
      <c r="AHQ7" s="2">
        <v>88.61</v>
      </c>
      <c r="AHR7" s="2">
        <v>10.8</v>
      </c>
      <c r="AHS7" s="2">
        <v>21.17</v>
      </c>
      <c r="AHT7" s="2">
        <v>2.2360000000000002</v>
      </c>
      <c r="AHU7" s="2">
        <v>0.4</v>
      </c>
      <c r="AHV7" s="2">
        <v>0.6</v>
      </c>
      <c r="AHW7" s="2">
        <v>0.9</v>
      </c>
      <c r="AHX7" s="2">
        <v>0.45</v>
      </c>
      <c r="AHY7" s="2">
        <v>0.3</v>
      </c>
      <c r="AHZ7" s="2">
        <v>1316</v>
      </c>
      <c r="AIA7" s="2">
        <v>105</v>
      </c>
      <c r="AIB7" s="2">
        <v>11520</v>
      </c>
      <c r="AIC7" s="2">
        <v>150</v>
      </c>
      <c r="AID7" s="2">
        <v>0</v>
      </c>
      <c r="AIE7" s="2">
        <v>0</v>
      </c>
      <c r="AIF7" s="2">
        <v>0</v>
      </c>
      <c r="AIG7" s="2">
        <v>0</v>
      </c>
      <c r="AIH7" s="2">
        <v>0</v>
      </c>
      <c r="AII7" s="2">
        <v>0</v>
      </c>
      <c r="AIJ7" s="2">
        <v>0</v>
      </c>
      <c r="AIK7" s="2">
        <v>0</v>
      </c>
      <c r="AIL7" s="2">
        <v>0</v>
      </c>
      <c r="AIM7" s="2">
        <v>0</v>
      </c>
      <c r="AIN7" s="2">
        <v>0</v>
      </c>
      <c r="AIO7" s="2">
        <v>0</v>
      </c>
      <c r="AIP7" s="2">
        <v>-999</v>
      </c>
      <c r="AIQ7" s="2">
        <v>-999</v>
      </c>
      <c r="AIR7" s="2">
        <v>-999</v>
      </c>
      <c r="AIS7" s="2">
        <v>-999</v>
      </c>
      <c r="AIT7" s="2">
        <v>-999</v>
      </c>
      <c r="AIU7" s="2">
        <v>-999</v>
      </c>
      <c r="AIV7" s="2">
        <v>-999</v>
      </c>
      <c r="AIW7" s="2">
        <v>-999</v>
      </c>
      <c r="AIX7" s="2">
        <v>-999</v>
      </c>
      <c r="AIY7" s="2">
        <v>-999</v>
      </c>
      <c r="AIZ7" s="2">
        <v>-999</v>
      </c>
      <c r="AJA7" s="2">
        <v>-999</v>
      </c>
      <c r="AJB7" s="2">
        <v>1200</v>
      </c>
      <c r="AJC7" s="2">
        <v>800</v>
      </c>
      <c r="AJD7" s="2">
        <v>800</v>
      </c>
      <c r="AJE7" s="2">
        <v>4335</v>
      </c>
      <c r="AJF7" s="2">
        <v>4525</v>
      </c>
      <c r="AJG7" s="2">
        <v>6625</v>
      </c>
      <c r="AJH7" s="2">
        <v>4074</v>
      </c>
      <c r="AJI7" s="2">
        <v>2845</v>
      </c>
      <c r="AJJ7" s="2">
        <v>1131.5</v>
      </c>
      <c r="AJK7" s="2">
        <v>3076</v>
      </c>
      <c r="AJL7" s="2">
        <v>3083</v>
      </c>
      <c r="AJM7" s="2">
        <v>7289</v>
      </c>
      <c r="AJN7" s="2">
        <v>3998</v>
      </c>
      <c r="AJO7" s="2">
        <v>3998</v>
      </c>
      <c r="AJP7" s="2">
        <v>850</v>
      </c>
      <c r="AJQ7" s="2">
        <v>3678</v>
      </c>
      <c r="AJR7" s="2">
        <v>3880</v>
      </c>
      <c r="AJS7" s="2">
        <v>167.02500000000001</v>
      </c>
      <c r="AJT7" s="2">
        <v>74.266037735848997</v>
      </c>
      <c r="AJU7" s="8">
        <v>3.358E-5</v>
      </c>
      <c r="AJV7" s="2">
        <v>1.0099</v>
      </c>
      <c r="AJW7" s="8">
        <v>5.8769999999999998E-6</v>
      </c>
      <c r="AJX7" s="2">
        <v>2.6086956521739101E-4</v>
      </c>
      <c r="AJY7" s="2">
        <v>6.3739130434782503</v>
      </c>
      <c r="AJZ7" s="8">
        <v>5.2173913043478202E-5</v>
      </c>
      <c r="AKA7" s="2">
        <v>1</v>
      </c>
      <c r="AKB7" s="2">
        <v>1</v>
      </c>
      <c r="AKC7" s="2">
        <v>1</v>
      </c>
      <c r="AKD7" s="2">
        <v>1</v>
      </c>
      <c r="AKE7" s="2">
        <v>1</v>
      </c>
      <c r="AKF7" s="2">
        <v>1</v>
      </c>
      <c r="AKG7" s="2">
        <v>1</v>
      </c>
      <c r="AKH7" s="2">
        <v>0.1</v>
      </c>
      <c r="AKI7" s="2">
        <v>1</v>
      </c>
      <c r="AKJ7" s="2">
        <v>1</v>
      </c>
      <c r="AKK7" s="2">
        <v>1</v>
      </c>
      <c r="AKL7" s="2">
        <v>1</v>
      </c>
      <c r="AKM7" s="2">
        <v>1</v>
      </c>
      <c r="AKN7" s="2">
        <v>0.1</v>
      </c>
      <c r="AKO7" s="2">
        <v>1</v>
      </c>
      <c r="AKP7" s="2">
        <v>1</v>
      </c>
      <c r="AKQ7" s="2">
        <v>1</v>
      </c>
      <c r="AKR7" s="2">
        <v>1</v>
      </c>
      <c r="AKS7" s="2">
        <v>1</v>
      </c>
      <c r="AKT7" s="2">
        <v>1</v>
      </c>
      <c r="AKU7" s="2">
        <v>1</v>
      </c>
      <c r="AKV7" s="2">
        <v>1</v>
      </c>
      <c r="AKW7" s="2">
        <v>1</v>
      </c>
      <c r="AKX7" s="2">
        <v>1</v>
      </c>
      <c r="AKY7" s="2">
        <v>1</v>
      </c>
      <c r="AKZ7" s="2">
        <v>1</v>
      </c>
      <c r="ALA7" s="2">
        <v>1</v>
      </c>
      <c r="ALB7" s="2">
        <v>1</v>
      </c>
      <c r="ALC7" s="2">
        <v>1</v>
      </c>
      <c r="ALD7" s="2">
        <v>1</v>
      </c>
      <c r="ALE7" s="2">
        <v>1</v>
      </c>
      <c r="ALF7" s="2">
        <v>1</v>
      </c>
      <c r="ALG7" s="2">
        <v>1</v>
      </c>
      <c r="ALH7" s="2">
        <v>1</v>
      </c>
      <c r="ALI7" s="2">
        <v>1</v>
      </c>
      <c r="ALJ7" s="2">
        <v>1</v>
      </c>
      <c r="ALK7" s="2">
        <v>1</v>
      </c>
      <c r="ALL7" s="2">
        <v>1</v>
      </c>
      <c r="ALM7" s="2">
        <v>1</v>
      </c>
      <c r="ALN7" s="2">
        <v>1</v>
      </c>
      <c r="ALO7" s="2">
        <v>1</v>
      </c>
      <c r="ALP7" s="2">
        <v>1</v>
      </c>
      <c r="ALQ7" s="2">
        <v>300</v>
      </c>
      <c r="ALR7" s="2">
        <v>150</v>
      </c>
      <c r="ALS7" s="2">
        <v>150</v>
      </c>
      <c r="ALT7" s="2">
        <v>151.72999999999999</v>
      </c>
      <c r="ALU7" s="2">
        <v>131.62</v>
      </c>
      <c r="ALV7" s="2">
        <v>62.34</v>
      </c>
      <c r="ALW7" s="2">
        <v>42.49</v>
      </c>
      <c r="ALX7" s="2">
        <v>28.89</v>
      </c>
      <c r="ALY7" s="2">
        <v>13.77</v>
      </c>
      <c r="ALZ7" s="2">
        <v>143.22</v>
      </c>
      <c r="AMA7" s="2">
        <v>43.78</v>
      </c>
      <c r="AMB7" s="2">
        <v>113.41</v>
      </c>
      <c r="AMC7" s="2">
        <v>71.94</v>
      </c>
      <c r="AMD7" s="2">
        <v>71.94</v>
      </c>
      <c r="AME7" s="2">
        <v>24.82</v>
      </c>
      <c r="AMF7" s="2">
        <v>24.26</v>
      </c>
      <c r="AMG7" s="2">
        <v>71.37</v>
      </c>
      <c r="AMH7" s="2">
        <v>0</v>
      </c>
      <c r="AMI7" s="2">
        <v>0</v>
      </c>
      <c r="AMJ7" s="2">
        <v>0</v>
      </c>
      <c r="AMK7" s="2">
        <v>0</v>
      </c>
      <c r="AML7" s="9">
        <v>9.8145472061657024E-3</v>
      </c>
      <c r="AMM7" s="2">
        <v>0.33230973025048172</v>
      </c>
      <c r="AMN7" s="2">
        <v>0</v>
      </c>
      <c r="AMO7" s="2">
        <v>0</v>
      </c>
      <c r="AMP7" s="2">
        <v>0</v>
      </c>
      <c r="AMQ7" s="2">
        <v>0</v>
      </c>
      <c r="AMR7" s="2">
        <v>0.43400770712909442</v>
      </c>
      <c r="AMS7" s="2">
        <v>0</v>
      </c>
      <c r="AMT7" s="2">
        <v>0</v>
      </c>
      <c r="AMU7" s="2">
        <v>0.15221579961464354</v>
      </c>
      <c r="AMV7" s="2">
        <v>3.2815510597302505E-2</v>
      </c>
      <c r="AMW7" s="2">
        <v>0</v>
      </c>
      <c r="AMX7" s="2">
        <v>3.8836705202312138E-2</v>
      </c>
      <c r="AMY7" s="2">
        <v>1.3034433554879601</v>
      </c>
      <c r="AMZ7" s="2">
        <v>0</v>
      </c>
      <c r="ANA7" s="2">
        <v>1.9670000000000001</v>
      </c>
      <c r="ANB7" s="2">
        <v>0</v>
      </c>
      <c r="ANC7" s="2">
        <v>0</v>
      </c>
      <c r="AND7" s="2">
        <v>1.3149999999999999</v>
      </c>
      <c r="ANE7" s="2">
        <v>0</v>
      </c>
      <c r="ANF7" s="2">
        <v>8.8768668407310704E-3</v>
      </c>
      <c r="ANG7" s="2">
        <v>1</v>
      </c>
      <c r="ANH7" s="2">
        <v>1.0869565217391299</v>
      </c>
      <c r="ANI7" s="2">
        <v>0</v>
      </c>
      <c r="ANJ7" s="2">
        <v>1.00230179028132</v>
      </c>
      <c r="ANK7" s="2">
        <v>7.8260869565217606E-3</v>
      </c>
      <c r="ANL7" s="2">
        <v>7.3657289002557703E-3</v>
      </c>
      <c r="ANM7" s="2">
        <v>4.6035805626598499E-4</v>
      </c>
      <c r="ANN7" s="2">
        <v>5.0639386189258399E-3</v>
      </c>
      <c r="ANO7" s="2">
        <v>0</v>
      </c>
      <c r="ANP7" s="2">
        <v>3.7634408602150601E-2</v>
      </c>
      <c r="ANQ7" s="2">
        <v>3.5420619860847602E-2</v>
      </c>
      <c r="ANR7" s="2">
        <v>2.2137887413029699E-3</v>
      </c>
      <c r="ANS7" s="2">
        <v>0</v>
      </c>
      <c r="ANT7" s="2">
        <v>0</v>
      </c>
      <c r="ANU7" s="2">
        <v>4.0540540540540397E-2</v>
      </c>
      <c r="ANV7" s="2">
        <v>3.8155802861685101E-2</v>
      </c>
      <c r="ANW7" s="2">
        <v>2.3847376788553201E-3</v>
      </c>
      <c r="ANX7" s="2">
        <v>0</v>
      </c>
      <c r="ANY7" s="2">
        <v>0</v>
      </c>
      <c r="ANZ7" s="2">
        <v>1</v>
      </c>
      <c r="AOA7" s="2">
        <v>1</v>
      </c>
      <c r="AOB7" s="2">
        <v>1</v>
      </c>
      <c r="AOC7" s="2">
        <v>2.76E-2</v>
      </c>
      <c r="AOD7" s="2">
        <v>0.94899999999999995</v>
      </c>
      <c r="AOE7" s="2">
        <v>0.2969</v>
      </c>
      <c r="AOF7" s="2">
        <v>0.47910000000000003</v>
      </c>
      <c r="AOG7" s="2">
        <v>0.04</v>
      </c>
      <c r="AOH7" s="2">
        <v>8.5949999999999999E-2</v>
      </c>
      <c r="AOI7" s="2">
        <v>1.405E-2</v>
      </c>
      <c r="AOJ7" s="2">
        <v>1</v>
      </c>
      <c r="AOK7" s="2">
        <v>1</v>
      </c>
      <c r="AOL7" s="2">
        <v>1</v>
      </c>
      <c r="AOM7" s="2">
        <v>0</v>
      </c>
      <c r="AON7" s="2">
        <v>1</v>
      </c>
      <c r="AOO7" s="2">
        <v>0</v>
      </c>
      <c r="AOP7" s="2">
        <v>0</v>
      </c>
      <c r="AOQ7" s="2">
        <v>0</v>
      </c>
      <c r="AOR7" s="2">
        <v>0</v>
      </c>
      <c r="AOS7" s="2">
        <v>1</v>
      </c>
      <c r="AOT7" s="2">
        <v>1</v>
      </c>
      <c r="AOU7" s="2">
        <v>0</v>
      </c>
      <c r="AOV7" s="2">
        <v>1</v>
      </c>
      <c r="AOW7" s="2">
        <v>0</v>
      </c>
      <c r="AOX7" s="2">
        <v>1</v>
      </c>
      <c r="AOY7" s="2">
        <v>0</v>
      </c>
      <c r="AOZ7" s="2">
        <v>1</v>
      </c>
      <c r="APA7" s="2">
        <v>1</v>
      </c>
      <c r="APB7" s="2">
        <v>1</v>
      </c>
      <c r="APC7" s="2">
        <v>1</v>
      </c>
      <c r="APD7" s="2">
        <v>1</v>
      </c>
      <c r="APE7" s="2">
        <v>1.1499999999999999</v>
      </c>
      <c r="APF7" s="2">
        <v>0</v>
      </c>
      <c r="APG7" s="2">
        <v>1</v>
      </c>
      <c r="APH7" s="2">
        <v>0</v>
      </c>
      <c r="API7" s="2">
        <v>1</v>
      </c>
      <c r="APJ7" s="2">
        <v>1</v>
      </c>
      <c r="APK7" s="2">
        <v>1</v>
      </c>
      <c r="APL7" s="2">
        <v>1</v>
      </c>
      <c r="APM7" s="2">
        <v>1</v>
      </c>
      <c r="APN7" s="2">
        <v>1</v>
      </c>
      <c r="APO7" s="2">
        <v>1</v>
      </c>
      <c r="APP7" s="2">
        <v>1</v>
      </c>
      <c r="APQ7" s="2">
        <v>0.5</v>
      </c>
      <c r="APR7" s="2">
        <v>0</v>
      </c>
      <c r="APS7" s="2">
        <v>1</v>
      </c>
      <c r="APT7" s="2">
        <v>0.25</v>
      </c>
      <c r="APU7" s="2">
        <v>0.25</v>
      </c>
      <c r="APV7" s="2">
        <v>0.25</v>
      </c>
      <c r="APW7" s="2">
        <v>0.25</v>
      </c>
      <c r="APX7" s="2">
        <v>0</v>
      </c>
      <c r="APY7" s="2">
        <v>0.5</v>
      </c>
      <c r="APZ7" s="2">
        <v>0</v>
      </c>
      <c r="AQA7" s="2">
        <v>0</v>
      </c>
      <c r="AQB7" s="2">
        <v>0</v>
      </c>
      <c r="AQC7" s="2">
        <v>0</v>
      </c>
      <c r="AQD7" s="2">
        <v>198.95</v>
      </c>
      <c r="AQE7" s="2">
        <v>0.4</v>
      </c>
      <c r="AQF7" s="2">
        <v>0</v>
      </c>
      <c r="AQG7" s="2">
        <v>0</v>
      </c>
      <c r="AQH7" s="2">
        <v>0</v>
      </c>
      <c r="AQI7" s="2">
        <v>3</v>
      </c>
      <c r="AQJ7" s="2">
        <v>0</v>
      </c>
      <c r="AQK7" s="2">
        <v>25</v>
      </c>
      <c r="AQL7" s="2">
        <v>0</v>
      </c>
      <c r="AQM7" s="2">
        <v>-999</v>
      </c>
      <c r="AQN7" s="2">
        <v>-999</v>
      </c>
      <c r="AQO7" s="2">
        <v>-999</v>
      </c>
      <c r="AQP7" s="2">
        <v>-999</v>
      </c>
      <c r="AQQ7" s="2">
        <v>-999</v>
      </c>
      <c r="AQR7" s="2">
        <v>-999</v>
      </c>
      <c r="AQS7" s="2">
        <v>-999</v>
      </c>
      <c r="AQT7" s="2">
        <v>-999</v>
      </c>
      <c r="AQU7" s="2">
        <v>-999</v>
      </c>
      <c r="AQV7" s="2">
        <v>-999</v>
      </c>
      <c r="AQW7" s="2">
        <v>-999</v>
      </c>
      <c r="AQX7" s="2">
        <v>-999</v>
      </c>
      <c r="AQY7" s="2">
        <v>-999</v>
      </c>
      <c r="AQZ7" s="2">
        <v>0</v>
      </c>
      <c r="ARA7" s="2">
        <v>-999</v>
      </c>
      <c r="ARB7" s="2">
        <v>-999</v>
      </c>
      <c r="ARC7" s="2">
        <v>-999</v>
      </c>
      <c r="ARD7" s="2">
        <v>-999</v>
      </c>
      <c r="ARE7" s="2">
        <v>-999</v>
      </c>
      <c r="ARF7" s="2">
        <v>-999</v>
      </c>
      <c r="ARG7" s="2">
        <v>-999</v>
      </c>
      <c r="ARH7" s="2">
        <v>-999</v>
      </c>
      <c r="ARI7" s="2">
        <v>-999</v>
      </c>
      <c r="ARJ7" s="2">
        <v>-999</v>
      </c>
      <c r="ARK7" s="2">
        <v>-999</v>
      </c>
      <c r="ARL7" s="2">
        <v>-999</v>
      </c>
      <c r="ARM7" s="2">
        <v>-999</v>
      </c>
      <c r="ARN7" s="2">
        <v>-999</v>
      </c>
      <c r="ARO7" s="2">
        <v>-999</v>
      </c>
      <c r="ARP7" s="2">
        <v>-999</v>
      </c>
      <c r="ARQ7" s="2">
        <v>-999</v>
      </c>
      <c r="ARR7" s="2">
        <v>-999</v>
      </c>
      <c r="ARS7" s="2">
        <v>-999</v>
      </c>
      <c r="ART7" s="2">
        <v>-999</v>
      </c>
      <c r="ARU7" s="2">
        <v>-999</v>
      </c>
      <c r="ARV7" s="2">
        <v>-999</v>
      </c>
      <c r="ARW7" s="2">
        <v>-999</v>
      </c>
      <c r="ARX7" s="2">
        <v>-999</v>
      </c>
      <c r="ARY7" s="2">
        <v>-999</v>
      </c>
      <c r="ARZ7" s="2">
        <v>-999</v>
      </c>
      <c r="ASA7" s="2">
        <v>-999</v>
      </c>
      <c r="ASB7" s="2">
        <v>-999</v>
      </c>
      <c r="ASC7" s="2">
        <v>-999</v>
      </c>
      <c r="ASD7" s="2">
        <v>-999</v>
      </c>
      <c r="ASE7" s="2">
        <v>-999</v>
      </c>
      <c r="ASF7" s="2">
        <v>-999</v>
      </c>
      <c r="ASG7" s="2">
        <v>-999</v>
      </c>
      <c r="ASH7" s="2">
        <v>-999</v>
      </c>
      <c r="ASI7" s="2">
        <v>-999</v>
      </c>
      <c r="ASJ7" s="2">
        <v>-999</v>
      </c>
      <c r="ASK7" s="2">
        <v>-999</v>
      </c>
      <c r="ASL7" s="2">
        <v>-999</v>
      </c>
      <c r="ASM7" s="2">
        <v>-999</v>
      </c>
      <c r="ASN7" s="2">
        <v>-999</v>
      </c>
      <c r="ASO7" s="2">
        <v>-999</v>
      </c>
      <c r="ASP7" s="2">
        <v>4.51</v>
      </c>
      <c r="ASQ7" s="2">
        <v>133</v>
      </c>
      <c r="ASR7" s="2">
        <v>11.49</v>
      </c>
      <c r="ASS7" s="2">
        <v>78.8</v>
      </c>
      <c r="AST7" s="2">
        <v>6.11</v>
      </c>
      <c r="ASU7" s="2">
        <v>2.3199999999999998</v>
      </c>
      <c r="ASV7" s="2">
        <v>1.21</v>
      </c>
      <c r="ASW7" s="2">
        <v>26</v>
      </c>
      <c r="ASX7" s="2">
        <v>2.81</v>
      </c>
      <c r="ASY7" s="2">
        <v>3.22</v>
      </c>
      <c r="ASZ7" s="2">
        <v>183.3</v>
      </c>
      <c r="ATA7" s="2">
        <v>30</v>
      </c>
      <c r="ATB7" s="2">
        <v>120</v>
      </c>
      <c r="ATC7" s="2">
        <v>40</v>
      </c>
      <c r="ATD7" s="2">
        <v>0.3</v>
      </c>
      <c r="ATE7" s="2">
        <v>1.55</v>
      </c>
      <c r="ATF7" s="2">
        <v>0</v>
      </c>
      <c r="ATG7" s="2">
        <v>1.8140000000000001</v>
      </c>
      <c r="ATI7" s="2">
        <v>250</v>
      </c>
      <c r="ATJ7" s="2">
        <v>1</v>
      </c>
      <c r="ATK7" s="2">
        <v>2</v>
      </c>
      <c r="ATL7" s="2">
        <v>70</v>
      </c>
      <c r="ATM7" s="2">
        <v>470</v>
      </c>
      <c r="ATN7" s="2">
        <v>15</v>
      </c>
      <c r="ATO7" s="2">
        <v>2.8</v>
      </c>
      <c r="ATP7" s="2">
        <v>15</v>
      </c>
      <c r="ATQ7" s="2">
        <v>3.7</v>
      </c>
      <c r="ATR7" s="10">
        <v>17998370</v>
      </c>
      <c r="ATS7" s="10">
        <v>4157630</v>
      </c>
      <c r="ATT7" s="2">
        <v>100000</v>
      </c>
      <c r="ATU7" s="2">
        <v>80000</v>
      </c>
      <c r="ATV7" s="2">
        <v>5000</v>
      </c>
      <c r="ATW7" s="2">
        <v>14000</v>
      </c>
      <c r="ATX7" s="2">
        <v>1400</v>
      </c>
      <c r="ATY7" s="2">
        <v>10000</v>
      </c>
      <c r="ATZ7" s="2">
        <v>108</v>
      </c>
      <c r="AUA7" s="2">
        <v>105000</v>
      </c>
      <c r="AUB7" s="2">
        <v>100000</v>
      </c>
      <c r="AUC7" s="2">
        <v>0</v>
      </c>
      <c r="AUD7" s="2">
        <v>0</v>
      </c>
      <c r="AUE7" s="2">
        <v>0</v>
      </c>
      <c r="AUF7" s="2">
        <v>0</v>
      </c>
      <c r="AUG7" s="2">
        <v>0</v>
      </c>
      <c r="AUH7" s="2">
        <v>0</v>
      </c>
      <c r="AUI7" s="2">
        <v>5000</v>
      </c>
      <c r="AUJ7" s="2">
        <v>400000</v>
      </c>
      <c r="AUK7" s="2">
        <v>1424850.75</v>
      </c>
      <c r="AUL7" s="2">
        <v>0</v>
      </c>
      <c r="AUM7" s="2">
        <v>0.9</v>
      </c>
      <c r="AUN7" s="2">
        <v>1.2</v>
      </c>
      <c r="AUO7" s="2">
        <v>0.01</v>
      </c>
      <c r="AUP7" s="2">
        <v>2.6</v>
      </c>
      <c r="AUQ7" s="2">
        <v>0</v>
      </c>
      <c r="AUR7" s="2">
        <v>7.8</v>
      </c>
      <c r="AUS7" s="2">
        <v>0.6</v>
      </c>
      <c r="AUT7" s="2">
        <v>6</v>
      </c>
      <c r="AUU7" s="2">
        <v>0</v>
      </c>
      <c r="AUV7" s="2">
        <v>0</v>
      </c>
      <c r="AUW7" s="2">
        <v>0</v>
      </c>
      <c r="AUX7" s="2">
        <v>0</v>
      </c>
      <c r="AUY7" s="2">
        <v>0.1</v>
      </c>
      <c r="AUZ7" s="2">
        <v>2</v>
      </c>
      <c r="AVA7" s="2">
        <v>4</v>
      </c>
      <c r="AVB7" s="2">
        <v>0.6</v>
      </c>
      <c r="AVC7" s="2">
        <v>0.5</v>
      </c>
      <c r="AVD7" s="2">
        <v>0.95</v>
      </c>
      <c r="AVE7" s="2">
        <v>1</v>
      </c>
      <c r="AVF7" s="2">
        <v>1</v>
      </c>
      <c r="AVG7" s="2">
        <v>1</v>
      </c>
      <c r="AVH7" s="2">
        <v>1</v>
      </c>
      <c r="AVI7" s="2">
        <v>1</v>
      </c>
      <c r="AVJ7" s="2">
        <v>1</v>
      </c>
      <c r="AVK7" s="2">
        <v>1</v>
      </c>
      <c r="AVL7" s="2">
        <v>1</v>
      </c>
      <c r="AVM7" s="2">
        <v>1</v>
      </c>
      <c r="AVN7" s="2">
        <v>1</v>
      </c>
      <c r="AVO7" s="2">
        <v>1</v>
      </c>
      <c r="AVP7" s="2">
        <v>1</v>
      </c>
      <c r="AVQ7" s="2">
        <v>1</v>
      </c>
      <c r="AVR7" s="2">
        <v>1</v>
      </c>
      <c r="AVS7" s="2">
        <v>1</v>
      </c>
      <c r="AVT7" s="2">
        <v>1</v>
      </c>
      <c r="AVU7" s="2">
        <v>1</v>
      </c>
      <c r="AVV7" s="2">
        <v>1</v>
      </c>
      <c r="AVW7" s="2">
        <v>1</v>
      </c>
      <c r="AVX7" s="2">
        <v>1</v>
      </c>
      <c r="AVY7" s="2">
        <v>1</v>
      </c>
      <c r="AVZ7" s="2">
        <v>1</v>
      </c>
      <c r="AWA7" s="2">
        <v>1</v>
      </c>
      <c r="AWB7" s="2">
        <v>1</v>
      </c>
      <c r="AWC7" s="2">
        <v>1</v>
      </c>
      <c r="AWD7" s="2">
        <v>1</v>
      </c>
      <c r="AWE7" s="2">
        <v>60</v>
      </c>
      <c r="AWF7" s="2">
        <v>5</v>
      </c>
      <c r="AWG7" s="2">
        <v>4.5</v>
      </c>
      <c r="AWH7" s="2">
        <v>74.14</v>
      </c>
      <c r="AWI7" s="2">
        <v>14.57</v>
      </c>
      <c r="AWJ7" s="2">
        <v>14.57</v>
      </c>
      <c r="AWK7" s="2">
        <v>0.45</v>
      </c>
      <c r="AWL7" s="2">
        <v>25</v>
      </c>
      <c r="AWM7" s="2">
        <v>2</v>
      </c>
      <c r="AWN7" s="2">
        <v>1</v>
      </c>
      <c r="AWO7" s="2">
        <v>4</v>
      </c>
      <c r="AWP7" s="2">
        <v>25</v>
      </c>
      <c r="AWQ7" s="2">
        <v>5</v>
      </c>
      <c r="AWR7" s="2">
        <v>19</v>
      </c>
      <c r="AWS7" s="2">
        <v>25</v>
      </c>
      <c r="AWT7" s="2">
        <v>2</v>
      </c>
      <c r="AWU7" s="2">
        <v>3.4</v>
      </c>
      <c r="AWV7" s="2">
        <v>3</v>
      </c>
      <c r="AWW7" s="2">
        <v>4</v>
      </c>
      <c r="AWX7" s="2">
        <v>16</v>
      </c>
      <c r="AWY7" s="2">
        <v>16</v>
      </c>
      <c r="AWZ7" s="2">
        <v>25</v>
      </c>
      <c r="AXA7" s="2">
        <v>25</v>
      </c>
      <c r="AXB7" s="2">
        <v>25</v>
      </c>
    </row>
    <row r="8" spans="1:1302" x14ac:dyDescent="0.3">
      <c r="A8" s="1">
        <v>2020</v>
      </c>
      <c r="B8" s="2">
        <v>6552500</v>
      </c>
      <c r="C8" s="2">
        <v>0</v>
      </c>
      <c r="D8" s="2">
        <v>2317</v>
      </c>
      <c r="E8" s="2">
        <v>20</v>
      </c>
      <c r="F8" s="2">
        <v>2000</v>
      </c>
      <c r="G8" s="2">
        <v>1</v>
      </c>
      <c r="H8" s="2">
        <v>0.4</v>
      </c>
      <c r="I8" s="2">
        <v>5.0000000000000001E-3</v>
      </c>
      <c r="J8" s="2">
        <v>0.02</v>
      </c>
      <c r="K8" s="2">
        <v>1E-3</v>
      </c>
      <c r="L8" s="2">
        <v>7.0000000000000001E-3</v>
      </c>
      <c r="M8" s="2">
        <v>1E-3</v>
      </c>
      <c r="N8" s="2">
        <v>0.05</v>
      </c>
      <c r="O8" s="2">
        <v>4.7000000000000002E-3</v>
      </c>
      <c r="P8" s="2">
        <v>0.115</v>
      </c>
      <c r="Q8" s="2">
        <v>1.09E-2</v>
      </c>
      <c r="R8" s="2">
        <v>6.0000000000000001E-3</v>
      </c>
      <c r="S8" s="2">
        <v>1.7000000000000001E-2</v>
      </c>
      <c r="T8" s="2">
        <v>7.9000000000000001E-2</v>
      </c>
      <c r="U8" s="2">
        <v>2.2899999999999999E-3</v>
      </c>
      <c r="V8" s="2">
        <v>1.1999999999999999E-3</v>
      </c>
      <c r="W8" s="2">
        <v>8.0000000000000004E-4</v>
      </c>
      <c r="X8" s="2">
        <v>1.6E-2</v>
      </c>
      <c r="Y8" s="2">
        <v>1.4999999999999999E-2</v>
      </c>
      <c r="Z8" s="2">
        <v>2.5000000000000001E-2</v>
      </c>
      <c r="AA8" s="2">
        <v>0</v>
      </c>
      <c r="AB8" s="2">
        <v>12.72</v>
      </c>
      <c r="AC8" s="2">
        <v>3.46</v>
      </c>
      <c r="AD8" s="4">
        <v>10.76074262562193</v>
      </c>
      <c r="AE8" s="5">
        <v>166.25338078291816</v>
      </c>
      <c r="AF8" s="5">
        <v>516.46159170696717</v>
      </c>
      <c r="AG8" s="2">
        <v>0</v>
      </c>
      <c r="AH8" s="2">
        <v>0</v>
      </c>
      <c r="AI8" s="2">
        <v>800</v>
      </c>
      <c r="AJ8" s="2">
        <v>18.989999999999998</v>
      </c>
      <c r="AK8" s="2">
        <v>18.600000000000001</v>
      </c>
      <c r="AL8" s="2">
        <v>62</v>
      </c>
      <c r="AM8" s="6">
        <f t="shared" ref="AM8:AM13" si="0">AN8*1.346</f>
        <v>112.02146709816613</v>
      </c>
      <c r="AN8" s="7">
        <v>83.22545846817691</v>
      </c>
      <c r="AO8" s="2">
        <v>0</v>
      </c>
      <c r="AP8" s="6">
        <v>286.60000000000002</v>
      </c>
      <c r="AQ8" s="7">
        <v>560.94929881337646</v>
      </c>
      <c r="AR8" s="2">
        <v>52.83</v>
      </c>
      <c r="AS8" s="2">
        <v>0</v>
      </c>
      <c r="AT8" s="7">
        <v>744.33656957928804</v>
      </c>
      <c r="AU8" s="2">
        <v>0</v>
      </c>
      <c r="AV8" s="2">
        <v>0</v>
      </c>
      <c r="AW8" s="2">
        <v>0</v>
      </c>
      <c r="AX8" s="2">
        <v>0</v>
      </c>
      <c r="AY8" s="2">
        <v>440</v>
      </c>
      <c r="AZ8" s="2">
        <v>9.99</v>
      </c>
      <c r="BA8" s="2">
        <v>74758.66</v>
      </c>
      <c r="BB8" s="2">
        <v>380</v>
      </c>
      <c r="BC8" s="2">
        <v>9380</v>
      </c>
      <c r="BD8" s="2">
        <v>3</v>
      </c>
      <c r="BE8" s="2">
        <v>0.4</v>
      </c>
      <c r="BF8" s="2">
        <v>29428</v>
      </c>
      <c r="BG8" s="2">
        <v>1418</v>
      </c>
      <c r="BH8" s="2">
        <v>0</v>
      </c>
      <c r="BI8" s="2">
        <v>1</v>
      </c>
      <c r="BJ8" s="2">
        <v>1</v>
      </c>
      <c r="BK8" s="2">
        <v>1</v>
      </c>
      <c r="BL8" s="2">
        <v>1</v>
      </c>
      <c r="BM8" s="2">
        <v>1</v>
      </c>
      <c r="BN8" s="2">
        <v>1</v>
      </c>
      <c r="BO8" s="2">
        <v>1</v>
      </c>
      <c r="BP8" s="2">
        <v>1</v>
      </c>
      <c r="BQ8" s="2">
        <v>1</v>
      </c>
      <c r="BR8" s="2">
        <v>1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1</v>
      </c>
      <c r="CF8" s="2">
        <v>1</v>
      </c>
      <c r="CG8" s="2">
        <v>1</v>
      </c>
      <c r="CH8" s="2">
        <v>1</v>
      </c>
      <c r="CI8" s="2">
        <v>1</v>
      </c>
      <c r="CJ8" s="2">
        <v>1</v>
      </c>
      <c r="CK8" s="2">
        <v>1</v>
      </c>
      <c r="CL8" s="2">
        <v>1</v>
      </c>
      <c r="CM8" s="2">
        <v>0</v>
      </c>
      <c r="CN8" s="2">
        <v>54.6</v>
      </c>
      <c r="CO8" s="2">
        <v>112</v>
      </c>
      <c r="CP8" s="2">
        <v>94.6</v>
      </c>
      <c r="CQ8" s="2">
        <v>97.016666666666595</v>
      </c>
      <c r="CR8" s="2">
        <v>103.833333333333</v>
      </c>
      <c r="CS8" s="2">
        <v>73.3</v>
      </c>
      <c r="CT8" s="2">
        <v>74.099999999999994</v>
      </c>
      <c r="CU8" s="2">
        <v>0</v>
      </c>
      <c r="CV8" s="2">
        <v>221</v>
      </c>
      <c r="CW8" s="2">
        <v>69.766666666666595</v>
      </c>
      <c r="CX8" s="2">
        <v>0</v>
      </c>
      <c r="CY8" s="2">
        <v>63.1</v>
      </c>
      <c r="CZ8" s="2">
        <v>0</v>
      </c>
      <c r="DA8" s="2">
        <v>0</v>
      </c>
      <c r="DB8" s="2">
        <v>71.7</v>
      </c>
      <c r="DC8" s="2">
        <v>60.15</v>
      </c>
      <c r="DD8" s="2">
        <v>60.15</v>
      </c>
      <c r="DE8" s="2">
        <v>0</v>
      </c>
      <c r="DF8" s="2">
        <v>0</v>
      </c>
      <c r="DG8" s="2">
        <v>75.349999999999994</v>
      </c>
      <c r="DH8" s="2">
        <v>95.066666666666606</v>
      </c>
      <c r="DI8" s="2">
        <v>0</v>
      </c>
      <c r="DJ8" s="2">
        <v>100.37</v>
      </c>
      <c r="DK8" s="2">
        <v>0</v>
      </c>
      <c r="DL8" s="2">
        <v>3.0000000000000001E-3</v>
      </c>
      <c r="DM8" s="2">
        <v>1E-3</v>
      </c>
      <c r="DN8" s="2">
        <v>1.6E-2</v>
      </c>
      <c r="DO8" s="2">
        <v>1E-3</v>
      </c>
      <c r="DP8" s="2">
        <v>1E-3</v>
      </c>
      <c r="DQ8" s="2">
        <v>1.6666666666666601E-3</v>
      </c>
      <c r="DR8" s="2">
        <v>3.0000000000000001E-3</v>
      </c>
      <c r="DS8" s="2">
        <v>3.0000000000000001E-3</v>
      </c>
      <c r="DT8" s="2">
        <v>0</v>
      </c>
      <c r="DU8" s="2">
        <v>1E-3</v>
      </c>
      <c r="DV8" s="2">
        <v>3.0000000000000001E-3</v>
      </c>
      <c r="DW8" s="2">
        <v>0</v>
      </c>
      <c r="DX8" s="2">
        <v>1E-3</v>
      </c>
      <c r="DY8" s="2">
        <v>0</v>
      </c>
      <c r="DZ8" s="2">
        <v>0</v>
      </c>
      <c r="EA8" s="2">
        <v>3.0000000000000001E-3</v>
      </c>
      <c r="EB8" s="2">
        <v>2E-3</v>
      </c>
      <c r="EC8" s="2">
        <v>2E-3</v>
      </c>
      <c r="ED8" s="2">
        <v>0</v>
      </c>
      <c r="EE8" s="2">
        <v>0</v>
      </c>
      <c r="EF8" s="2">
        <v>1.6500000000000001E-2</v>
      </c>
      <c r="EG8" s="2">
        <v>1E-3</v>
      </c>
      <c r="EH8" s="2">
        <v>0</v>
      </c>
      <c r="EI8" s="2">
        <v>2.79</v>
      </c>
      <c r="EJ8" s="2">
        <v>0</v>
      </c>
      <c r="EK8" s="2">
        <v>5.9999999999999995E-4</v>
      </c>
      <c r="EL8" s="2">
        <v>1E-4</v>
      </c>
      <c r="EM8" s="2">
        <v>2.875E-3</v>
      </c>
      <c r="EN8" s="2">
        <v>1.5E-3</v>
      </c>
      <c r="EO8" s="2">
        <v>1.5E-3</v>
      </c>
      <c r="EP8" s="2">
        <v>7.3333333333333302E-4</v>
      </c>
      <c r="EQ8" s="2">
        <v>5.9999999999999995E-4</v>
      </c>
      <c r="ER8" s="2">
        <v>5.9999999999999995E-4</v>
      </c>
      <c r="ES8" s="2">
        <v>0</v>
      </c>
      <c r="ET8" s="2">
        <v>1E-4</v>
      </c>
      <c r="EU8" s="2">
        <v>5.9999999999999995E-4</v>
      </c>
      <c r="EV8" s="2">
        <v>0</v>
      </c>
      <c r="EW8" s="2">
        <v>1E-4</v>
      </c>
      <c r="EX8" s="2">
        <v>0</v>
      </c>
      <c r="EY8" s="2">
        <v>0</v>
      </c>
      <c r="EZ8" s="2">
        <v>5.9999999999999995E-4</v>
      </c>
      <c r="FA8" s="2">
        <v>3.5E-4</v>
      </c>
      <c r="FB8" s="2">
        <v>3.5E-4</v>
      </c>
      <c r="FC8" s="2">
        <v>0</v>
      </c>
      <c r="FD8" s="2">
        <v>0</v>
      </c>
      <c r="FE8" s="2">
        <v>2.3E-3</v>
      </c>
      <c r="FF8" s="2">
        <v>1.5E-3</v>
      </c>
      <c r="FG8" s="2">
        <v>0</v>
      </c>
      <c r="FH8" s="2">
        <v>9.5899999999999996E-3</v>
      </c>
      <c r="FI8" s="2">
        <v>0</v>
      </c>
      <c r="FJ8" s="8">
        <v>1.6583123951776999E-6</v>
      </c>
      <c r="FK8" s="8">
        <v>8.4498520697110406E-8</v>
      </c>
      <c r="FL8" s="8">
        <v>2.4E-8</v>
      </c>
      <c r="FM8" s="2">
        <v>1.4105270168067501E-4</v>
      </c>
      <c r="FN8" s="8">
        <v>3.23821170194798E-9</v>
      </c>
      <c r="FO8" s="8">
        <v>2.46779253585061E-5</v>
      </c>
      <c r="FP8" s="2">
        <v>5.1415182085719699E-2</v>
      </c>
      <c r="FQ8" s="8">
        <v>4.89277622940513E-6</v>
      </c>
      <c r="FR8" s="2">
        <v>3.99749921826133E-2</v>
      </c>
      <c r="FS8" s="8">
        <v>6.3213623094501506E-11</v>
      </c>
      <c r="FT8" s="8">
        <v>6.3213922517116401E-7</v>
      </c>
      <c r="FU8" s="8">
        <v>2.6021139604446299E-9</v>
      </c>
      <c r="FV8" s="2">
        <v>6.2529992803453897E-3</v>
      </c>
      <c r="FW8" s="2">
        <v>0</v>
      </c>
      <c r="FX8" s="8">
        <v>3.2490625588560901E-6</v>
      </c>
      <c r="FY8" s="2">
        <v>9.2441948549119596E-3</v>
      </c>
      <c r="FZ8" s="2">
        <v>0</v>
      </c>
      <c r="GA8" s="8">
        <v>6.1712669934061603E-5</v>
      </c>
      <c r="GB8" s="2">
        <v>1.02490704319759E-2</v>
      </c>
      <c r="GC8" s="8">
        <v>6.8E-8</v>
      </c>
      <c r="GD8" s="8">
        <v>5.4211433772233295E-7</v>
      </c>
      <c r="GE8" s="2">
        <v>1.40263261984831E-2</v>
      </c>
      <c r="GF8" s="2">
        <v>1.52432705551728E-2</v>
      </c>
      <c r="GG8" s="2">
        <v>1.02176318195558E-2</v>
      </c>
      <c r="GH8" s="2">
        <v>5.1633091233467803E-3</v>
      </c>
      <c r="GI8" s="2">
        <v>2.1213203435596398E-3</v>
      </c>
      <c r="GJ8" s="2">
        <v>0</v>
      </c>
      <c r="GK8" s="2">
        <v>1.87616630392937E-3</v>
      </c>
      <c r="GL8" s="8">
        <v>6.4583997501198804E-7</v>
      </c>
      <c r="GM8" s="8">
        <v>1.52E-5</v>
      </c>
      <c r="GN8" s="8">
        <v>6.2528652183015504E-9</v>
      </c>
      <c r="GO8" s="8">
        <v>1.395E-6</v>
      </c>
      <c r="GP8" s="2">
        <v>0</v>
      </c>
      <c r="GQ8" s="8">
        <v>1.82429989565185E-8</v>
      </c>
      <c r="GR8" s="2">
        <v>1.5200000000000001E-4</v>
      </c>
      <c r="GS8" s="2">
        <v>1</v>
      </c>
      <c r="GT8" s="2">
        <v>0</v>
      </c>
      <c r="GU8" s="8">
        <v>8.0000000000000007E-5</v>
      </c>
      <c r="GV8" s="8">
        <v>8.0000000000000007E-5</v>
      </c>
      <c r="GW8" s="2">
        <v>1</v>
      </c>
      <c r="GX8" s="2">
        <v>0</v>
      </c>
      <c r="GY8" s="2">
        <v>1</v>
      </c>
      <c r="GZ8" s="2">
        <v>1</v>
      </c>
      <c r="HA8" s="2">
        <v>0</v>
      </c>
      <c r="HB8" s="2">
        <v>0</v>
      </c>
      <c r="HC8" s="8">
        <v>2.0000000000000002E-5</v>
      </c>
      <c r="HD8" s="2">
        <v>1</v>
      </c>
      <c r="HE8" s="2">
        <v>1</v>
      </c>
      <c r="HF8" s="2">
        <v>1</v>
      </c>
      <c r="HG8" s="2">
        <v>1</v>
      </c>
      <c r="HH8" s="2">
        <v>1</v>
      </c>
      <c r="HI8" s="2">
        <v>1</v>
      </c>
      <c r="HJ8" s="2">
        <v>0</v>
      </c>
      <c r="HK8" s="2">
        <v>1</v>
      </c>
      <c r="HL8" s="2">
        <v>0</v>
      </c>
      <c r="HM8" s="8">
        <v>1.9999999999999999E-6</v>
      </c>
      <c r="HN8" s="8">
        <v>4.0000000000000001E-8</v>
      </c>
      <c r="HO8" s="2">
        <v>1</v>
      </c>
      <c r="HP8" s="2">
        <v>0</v>
      </c>
      <c r="HQ8" s="2">
        <v>0</v>
      </c>
      <c r="HR8" s="8">
        <v>5.9999999999999997E-7</v>
      </c>
      <c r="HS8" s="2">
        <v>1</v>
      </c>
      <c r="HT8" s="2">
        <v>1</v>
      </c>
      <c r="HU8" s="2">
        <v>0</v>
      </c>
      <c r="HV8" s="2">
        <v>0</v>
      </c>
      <c r="HW8" s="8">
        <v>7.9999999999999996E-6</v>
      </c>
      <c r="HX8" s="2">
        <v>1</v>
      </c>
      <c r="HY8" s="2">
        <v>0</v>
      </c>
      <c r="HZ8" s="2">
        <v>2.0000000000000001E-4</v>
      </c>
      <c r="IA8" s="2">
        <v>0</v>
      </c>
      <c r="IB8" s="2">
        <v>1</v>
      </c>
      <c r="IC8" s="2">
        <v>0</v>
      </c>
      <c r="ID8" s="8">
        <v>1.9999999999999999E-6</v>
      </c>
      <c r="IE8" s="2">
        <v>0</v>
      </c>
      <c r="IF8" s="2">
        <v>0</v>
      </c>
      <c r="IG8" s="2">
        <v>0</v>
      </c>
      <c r="IH8" s="2">
        <v>1</v>
      </c>
      <c r="II8" s="2">
        <v>1</v>
      </c>
      <c r="IJ8" s="2">
        <v>0</v>
      </c>
      <c r="IK8" s="2">
        <v>0</v>
      </c>
      <c r="IL8" s="2">
        <v>1.16E-3</v>
      </c>
      <c r="IM8" s="2">
        <v>1.7357142857142799E-4</v>
      </c>
      <c r="IN8" s="2">
        <v>3.9654299999999998E-3</v>
      </c>
      <c r="IO8" s="2">
        <v>1</v>
      </c>
      <c r="IP8" s="2">
        <v>1</v>
      </c>
      <c r="IQ8" s="2">
        <v>0</v>
      </c>
      <c r="IR8" s="2">
        <v>0</v>
      </c>
      <c r="IS8" s="2">
        <v>1</v>
      </c>
      <c r="IT8" s="2">
        <v>1</v>
      </c>
      <c r="IU8" s="2">
        <v>3.0000000000000001E-3</v>
      </c>
      <c r="IV8" s="8">
        <v>3.0000000000000001E-5</v>
      </c>
      <c r="IW8" s="2">
        <v>3.15</v>
      </c>
      <c r="IX8" s="2">
        <v>3.08</v>
      </c>
      <c r="IY8" s="2">
        <v>0.52</v>
      </c>
      <c r="IZ8" s="2">
        <v>0.848907407407407</v>
      </c>
      <c r="JA8" s="2">
        <v>0.2</v>
      </c>
      <c r="JB8" s="2">
        <v>0.75</v>
      </c>
      <c r="JC8" s="2">
        <v>1.8667380952380901</v>
      </c>
      <c r="JD8" s="2">
        <v>1.43807229</v>
      </c>
      <c r="JE8" s="2">
        <v>1</v>
      </c>
      <c r="JF8" s="2">
        <v>3.7409999999999999E-2</v>
      </c>
      <c r="JG8" s="2">
        <v>6.9999999999999999E-4</v>
      </c>
      <c r="JH8" s="2">
        <v>0</v>
      </c>
      <c r="JI8" s="2">
        <v>1E-4</v>
      </c>
      <c r="JJ8" s="2">
        <v>1</v>
      </c>
      <c r="JK8" s="8">
        <v>6.0000000000000002E-6</v>
      </c>
      <c r="JL8" s="8">
        <v>6.0000000000000002E-6</v>
      </c>
      <c r="JM8" s="8">
        <v>6.0000000000000002E-6</v>
      </c>
      <c r="JN8" s="2">
        <v>0.5</v>
      </c>
      <c r="JO8" s="2">
        <v>2</v>
      </c>
      <c r="JP8" s="2">
        <v>13.315</v>
      </c>
      <c r="JQ8" s="2">
        <v>3.71</v>
      </c>
      <c r="JR8" s="2">
        <v>77</v>
      </c>
      <c r="JS8" s="2">
        <v>3.9</v>
      </c>
      <c r="JT8" s="2">
        <v>20.6</v>
      </c>
      <c r="JU8" s="2">
        <v>62</v>
      </c>
      <c r="JV8" s="2">
        <v>350</v>
      </c>
      <c r="JW8" s="2">
        <v>41</v>
      </c>
      <c r="JX8" s="2">
        <v>3.9</v>
      </c>
      <c r="JY8" s="2">
        <v>5.6</v>
      </c>
      <c r="JZ8" s="2">
        <v>0.2</v>
      </c>
      <c r="KA8" s="2">
        <v>3</v>
      </c>
      <c r="KB8" s="2">
        <v>4.1500000000000004</v>
      </c>
      <c r="KC8" s="2">
        <v>350</v>
      </c>
      <c r="KD8" s="2">
        <v>28.6</v>
      </c>
      <c r="KE8" s="2">
        <v>3</v>
      </c>
      <c r="KF8" s="2">
        <v>4.1500000000000004</v>
      </c>
      <c r="KG8" s="2">
        <v>350</v>
      </c>
      <c r="KH8" s="2">
        <v>28.6</v>
      </c>
      <c r="KI8" s="2">
        <v>3</v>
      </c>
      <c r="KJ8" s="2">
        <v>77</v>
      </c>
      <c r="KK8" s="2">
        <v>3.9</v>
      </c>
      <c r="KL8" s="2">
        <v>20.6</v>
      </c>
      <c r="KM8" s="2">
        <v>62</v>
      </c>
      <c r="KN8" s="2">
        <v>350</v>
      </c>
      <c r="KO8" s="2">
        <v>41</v>
      </c>
      <c r="KP8" s="2">
        <v>3.9</v>
      </c>
      <c r="KQ8" s="2">
        <v>5.6</v>
      </c>
      <c r="KR8" s="2">
        <v>0.2</v>
      </c>
      <c r="KS8" s="2">
        <v>3</v>
      </c>
      <c r="KT8" s="2">
        <v>77</v>
      </c>
      <c r="KU8" s="2">
        <v>3.9</v>
      </c>
      <c r="KV8" s="2">
        <v>20.6</v>
      </c>
      <c r="KW8" s="2">
        <v>62</v>
      </c>
      <c r="KX8" s="2">
        <v>350</v>
      </c>
      <c r="KY8" s="2">
        <v>41</v>
      </c>
      <c r="KZ8" s="2">
        <v>3.9</v>
      </c>
      <c r="LA8" s="2">
        <v>5.6</v>
      </c>
      <c r="LB8" s="2">
        <v>0.2</v>
      </c>
      <c r="LC8" s="2">
        <v>3</v>
      </c>
      <c r="LD8" s="2">
        <v>18</v>
      </c>
      <c r="LE8" s="2">
        <v>3.9</v>
      </c>
      <c r="LF8" s="2">
        <v>20.6</v>
      </c>
      <c r="LG8" s="2">
        <v>62</v>
      </c>
      <c r="LH8" s="2">
        <v>41</v>
      </c>
      <c r="LI8" s="2">
        <v>3.9</v>
      </c>
      <c r="LJ8" s="2">
        <v>5.6</v>
      </c>
      <c r="LK8" s="2">
        <v>0.2</v>
      </c>
      <c r="LL8" s="2">
        <v>7</v>
      </c>
      <c r="LM8" s="2">
        <v>350</v>
      </c>
      <c r="LN8" s="2">
        <v>2</v>
      </c>
      <c r="LO8" s="2">
        <v>3</v>
      </c>
      <c r="LP8" s="2">
        <v>0.95</v>
      </c>
      <c r="LQ8" s="2">
        <v>0.8</v>
      </c>
      <c r="LR8" s="2">
        <v>0.8</v>
      </c>
      <c r="LS8" s="2">
        <v>0.6</v>
      </c>
      <c r="LT8" s="2">
        <v>0.78</v>
      </c>
      <c r="LU8" s="2">
        <v>0.6</v>
      </c>
      <c r="LV8" s="2">
        <v>0.82</v>
      </c>
      <c r="LW8" s="2">
        <v>3.2</v>
      </c>
      <c r="LX8" s="2">
        <v>0.8</v>
      </c>
      <c r="LY8" s="2">
        <v>0.85</v>
      </c>
      <c r="LZ8" s="2">
        <v>0.75</v>
      </c>
      <c r="MA8" s="2">
        <v>0.8</v>
      </c>
      <c r="MB8" s="2">
        <v>0.8</v>
      </c>
      <c r="MC8" s="2">
        <v>0.8</v>
      </c>
      <c r="MD8" s="2">
        <v>0.82</v>
      </c>
      <c r="ME8" s="2">
        <v>0.2</v>
      </c>
      <c r="MF8" s="2">
        <v>0.33500000000000002</v>
      </c>
      <c r="MG8" s="2">
        <v>0.14000000000000001</v>
      </c>
      <c r="MH8" s="2">
        <v>0.45</v>
      </c>
      <c r="MI8" s="2">
        <v>0.45</v>
      </c>
      <c r="MJ8" s="2">
        <v>0.4</v>
      </c>
      <c r="MK8" s="2">
        <v>0.4</v>
      </c>
      <c r="ML8" s="2">
        <v>1</v>
      </c>
      <c r="MM8" s="2">
        <v>0.85499999999999998</v>
      </c>
      <c r="MN8" s="2">
        <v>2.7000000000000001E-3</v>
      </c>
      <c r="MO8" s="2">
        <v>1</v>
      </c>
      <c r="MP8" s="2">
        <v>0.22</v>
      </c>
      <c r="MQ8" s="2">
        <v>0.23</v>
      </c>
      <c r="MR8" s="2">
        <v>0.22</v>
      </c>
      <c r="MS8" s="2">
        <v>0.4</v>
      </c>
      <c r="MT8" s="2">
        <v>0.8</v>
      </c>
      <c r="MU8" s="2">
        <v>0.75</v>
      </c>
      <c r="MV8" s="2">
        <v>0.85</v>
      </c>
      <c r="MW8" s="2">
        <v>0.75</v>
      </c>
      <c r="MX8" s="2">
        <v>0.6</v>
      </c>
      <c r="MY8" s="2">
        <v>0.82</v>
      </c>
      <c r="MZ8" s="2">
        <v>0.98</v>
      </c>
      <c r="NA8" s="2">
        <v>0.75</v>
      </c>
      <c r="NB8" s="2">
        <v>0.75</v>
      </c>
      <c r="NC8" s="2">
        <v>0.8</v>
      </c>
      <c r="ND8" s="2">
        <v>0.82</v>
      </c>
      <c r="NE8" s="2">
        <v>0.8</v>
      </c>
      <c r="NF8" s="2">
        <v>0.7</v>
      </c>
      <c r="NG8" s="2">
        <v>0.6</v>
      </c>
      <c r="NH8" s="2">
        <v>0.75</v>
      </c>
      <c r="NI8" s="2">
        <v>2.4</v>
      </c>
      <c r="NJ8" s="2">
        <v>0.75</v>
      </c>
      <c r="NK8" s="2">
        <v>0.75</v>
      </c>
      <c r="NL8" s="2">
        <v>0.8</v>
      </c>
      <c r="NM8" s="2">
        <v>0.75</v>
      </c>
      <c r="NN8" s="2">
        <v>0.8</v>
      </c>
      <c r="NO8" s="2">
        <v>0.64</v>
      </c>
      <c r="NP8" s="2">
        <v>0.6</v>
      </c>
      <c r="NQ8" s="2">
        <v>0.75</v>
      </c>
      <c r="NR8" s="2">
        <v>3.2</v>
      </c>
      <c r="NS8" s="2">
        <v>0.75</v>
      </c>
      <c r="NT8" s="2">
        <v>0.75</v>
      </c>
      <c r="NU8" s="2">
        <v>0.8</v>
      </c>
      <c r="NV8" s="2">
        <v>0.6</v>
      </c>
      <c r="NW8" s="2">
        <v>0.8</v>
      </c>
      <c r="NX8" s="2">
        <v>0.1</v>
      </c>
      <c r="OY8" s="2">
        <v>0.13300000000000001</v>
      </c>
      <c r="OZ8" s="2">
        <v>50</v>
      </c>
      <c r="PA8" s="2">
        <v>1.3376999999999999</v>
      </c>
      <c r="PB8" s="2">
        <v>1.3368169646517301E-2</v>
      </c>
      <c r="PC8" s="2">
        <v>6.1813186813186802E-2</v>
      </c>
      <c r="PD8" s="2">
        <v>0.95550000000000002</v>
      </c>
      <c r="PE8" s="2">
        <v>0</v>
      </c>
      <c r="PF8" s="2">
        <v>5</v>
      </c>
      <c r="PG8" s="2">
        <v>2.4500000000000001E-2</v>
      </c>
      <c r="PI8" s="2">
        <v>8</v>
      </c>
      <c r="PJ8" s="2">
        <v>28.95</v>
      </c>
      <c r="PK8" s="2">
        <v>2.8000000000000001E-2</v>
      </c>
      <c r="PL8" s="2">
        <v>3.9</v>
      </c>
      <c r="PM8" s="2">
        <v>22.5</v>
      </c>
      <c r="PN8" s="2">
        <v>22.96</v>
      </c>
      <c r="PO8" s="2">
        <v>38</v>
      </c>
      <c r="PP8" s="2">
        <v>36.4</v>
      </c>
      <c r="PQ8" s="2">
        <v>3.5000000000000001E-3</v>
      </c>
      <c r="PR8" s="2">
        <v>35</v>
      </c>
      <c r="PS8" s="2">
        <v>3.8300000000000001E-2</v>
      </c>
      <c r="PT8" s="2">
        <v>8</v>
      </c>
      <c r="PU8" s="2">
        <v>32</v>
      </c>
      <c r="PV8" s="2">
        <v>3.8300000000000001E-2</v>
      </c>
      <c r="PW8" s="2">
        <v>38</v>
      </c>
      <c r="PX8" s="2">
        <v>30.58</v>
      </c>
      <c r="PY8" s="2">
        <v>13</v>
      </c>
      <c r="PZ8" s="2">
        <v>23.64</v>
      </c>
      <c r="QA8" s="2">
        <v>26.28</v>
      </c>
      <c r="QB8" s="5">
        <v>48</v>
      </c>
      <c r="QC8" s="2">
        <v>130.739</v>
      </c>
      <c r="QD8" s="2">
        <v>79810000</v>
      </c>
      <c r="QE8" s="2">
        <v>8</v>
      </c>
      <c r="QF8" s="2">
        <v>3</v>
      </c>
      <c r="QG8" s="2">
        <v>2</v>
      </c>
      <c r="QH8" s="2">
        <v>2</v>
      </c>
      <c r="QI8" s="2">
        <v>1</v>
      </c>
      <c r="QJ8" s="2">
        <v>0.5</v>
      </c>
      <c r="QK8" s="2">
        <v>0.25</v>
      </c>
      <c r="QL8" s="2">
        <v>0.5</v>
      </c>
      <c r="QM8" s="2">
        <v>1</v>
      </c>
      <c r="QN8" s="2">
        <v>0.5</v>
      </c>
      <c r="QO8" s="2">
        <v>0.2</v>
      </c>
      <c r="QP8" s="2">
        <v>0.2</v>
      </c>
      <c r="QQ8" s="2">
        <v>0.8</v>
      </c>
      <c r="QR8" s="2">
        <v>1.18527760449157E-2</v>
      </c>
      <c r="QS8" s="2">
        <v>9.9812850904553892E-3</v>
      </c>
      <c r="QT8" s="2">
        <v>0.97816593886462799</v>
      </c>
      <c r="QU8" s="2">
        <v>0.19</v>
      </c>
      <c r="QV8" s="2">
        <v>0.13700000000000001</v>
      </c>
      <c r="QW8" s="2">
        <v>0.30299999999999999</v>
      </c>
      <c r="QX8" s="2">
        <v>0</v>
      </c>
      <c r="QY8" s="2">
        <v>0.216</v>
      </c>
      <c r="QZ8" s="2">
        <v>0.1</v>
      </c>
      <c r="RA8" s="2">
        <v>2.5000000000000001E-2</v>
      </c>
      <c r="RB8" s="2">
        <v>0.05</v>
      </c>
      <c r="RC8" s="2">
        <v>0.2</v>
      </c>
      <c r="RD8" s="2">
        <v>0.04</v>
      </c>
      <c r="RE8" s="2">
        <v>0</v>
      </c>
      <c r="RF8" s="2">
        <v>0</v>
      </c>
      <c r="RG8" s="2">
        <v>7.4999999999999997E-2</v>
      </c>
      <c r="RH8" s="2">
        <v>-999</v>
      </c>
      <c r="RI8" s="2">
        <v>-999</v>
      </c>
      <c r="RJ8" s="2">
        <v>-999</v>
      </c>
      <c r="RK8" s="2">
        <v>-999</v>
      </c>
      <c r="RL8" s="2">
        <v>-999</v>
      </c>
      <c r="RM8" s="2">
        <v>-999</v>
      </c>
      <c r="RN8" s="2">
        <v>-999</v>
      </c>
      <c r="RO8" s="2">
        <v>-999</v>
      </c>
      <c r="RP8" s="2">
        <v>-999</v>
      </c>
      <c r="RQ8" s="2">
        <v>-999</v>
      </c>
      <c r="RR8" s="2">
        <v>-999</v>
      </c>
      <c r="RS8" s="2">
        <v>-999</v>
      </c>
      <c r="RT8" s="2">
        <v>-999</v>
      </c>
      <c r="RU8" s="2">
        <v>-999</v>
      </c>
      <c r="RV8" s="2">
        <v>8.6999999999999994E-2</v>
      </c>
      <c r="RW8" s="2">
        <v>8.6999999999999994E-2</v>
      </c>
      <c r="RX8" s="2">
        <v>0</v>
      </c>
      <c r="RZ8" s="2">
        <v>0</v>
      </c>
      <c r="SA8" s="2">
        <v>0</v>
      </c>
      <c r="SB8" s="2">
        <v>0.31</v>
      </c>
      <c r="SC8" s="2">
        <v>0.03</v>
      </c>
      <c r="SD8" s="2">
        <v>0</v>
      </c>
      <c r="SE8" s="2">
        <v>0.31</v>
      </c>
      <c r="SF8" s="2">
        <v>0</v>
      </c>
      <c r="SG8" s="2">
        <v>0</v>
      </c>
      <c r="SH8" s="2">
        <v>0.32</v>
      </c>
      <c r="SI8" s="2">
        <v>0</v>
      </c>
      <c r="SJ8" s="2">
        <v>0</v>
      </c>
      <c r="SK8" s="2">
        <v>0.03</v>
      </c>
      <c r="SL8" s="2">
        <v>0</v>
      </c>
      <c r="SM8" s="2">
        <v>0.67</v>
      </c>
      <c r="SN8" s="2">
        <v>0</v>
      </c>
      <c r="SO8" s="2">
        <v>0.01</v>
      </c>
      <c r="SP8" s="2">
        <v>0.3</v>
      </c>
      <c r="SQ8" s="2">
        <v>0</v>
      </c>
      <c r="SR8" s="2">
        <v>0</v>
      </c>
      <c r="SS8" s="2">
        <v>0</v>
      </c>
      <c r="ST8" s="2">
        <v>0</v>
      </c>
      <c r="SU8" s="2">
        <v>0</v>
      </c>
      <c r="SV8" s="2">
        <v>0</v>
      </c>
      <c r="SW8" s="2">
        <v>0</v>
      </c>
      <c r="SX8" s="2">
        <v>0.02</v>
      </c>
      <c r="SY8" s="2">
        <v>0</v>
      </c>
      <c r="SZ8" s="2">
        <v>0</v>
      </c>
      <c r="TA8" s="2">
        <v>0</v>
      </c>
      <c r="TB8" s="2">
        <v>0.01</v>
      </c>
      <c r="TC8" s="2">
        <v>0.38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0.6</v>
      </c>
      <c r="TK8" s="2">
        <v>0.01</v>
      </c>
      <c r="TL8" s="2">
        <v>0</v>
      </c>
      <c r="TM8" s="2">
        <v>0</v>
      </c>
      <c r="TN8" s="2">
        <v>0</v>
      </c>
      <c r="TO8" s="2">
        <v>0.11</v>
      </c>
      <c r="TP8" s="2">
        <v>0.88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0.01</v>
      </c>
      <c r="TY8" s="2">
        <v>0</v>
      </c>
      <c r="TZ8" s="2">
        <v>0</v>
      </c>
      <c r="UA8" s="2">
        <v>0</v>
      </c>
      <c r="UB8" s="2">
        <v>0.01</v>
      </c>
      <c r="UC8" s="2">
        <v>0.22900000000000001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0.76</v>
      </c>
      <c r="UK8" s="2">
        <v>1E-3</v>
      </c>
      <c r="UL8" s="2">
        <v>0</v>
      </c>
      <c r="UM8" s="2">
        <v>0</v>
      </c>
      <c r="UN8" s="2">
        <v>0.4</v>
      </c>
      <c r="UO8" s="2">
        <v>0</v>
      </c>
      <c r="UP8" s="2">
        <v>0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0.2</v>
      </c>
      <c r="UW8" s="2">
        <v>0</v>
      </c>
      <c r="UX8" s="2">
        <v>0</v>
      </c>
      <c r="UY8" s="2">
        <v>1.2E-2</v>
      </c>
      <c r="UZ8" s="2">
        <v>0</v>
      </c>
      <c r="VA8" s="2">
        <v>0</v>
      </c>
      <c r="VB8" s="2">
        <v>0.11899999999999999</v>
      </c>
      <c r="VC8" s="2">
        <v>0.73</v>
      </c>
      <c r="VE8" s="2">
        <v>0</v>
      </c>
      <c r="VF8" s="2">
        <v>0</v>
      </c>
      <c r="VG8" s="2">
        <v>0</v>
      </c>
      <c r="VH8" s="2">
        <v>0</v>
      </c>
      <c r="VJ8" s="2">
        <v>0.15</v>
      </c>
      <c r="VK8" s="2">
        <v>1E-3</v>
      </c>
      <c r="VL8" s="2">
        <v>0</v>
      </c>
      <c r="VM8" s="2">
        <v>0</v>
      </c>
      <c r="VN8" s="2">
        <v>0</v>
      </c>
      <c r="VO8" s="2">
        <v>0.21</v>
      </c>
      <c r="VP8" s="2">
        <v>0.78</v>
      </c>
      <c r="VQ8" s="2">
        <v>0</v>
      </c>
      <c r="VR8" s="2">
        <v>0</v>
      </c>
      <c r="VS8" s="2">
        <v>0</v>
      </c>
      <c r="VT8" s="2">
        <v>0</v>
      </c>
      <c r="VU8" s="2">
        <v>0</v>
      </c>
      <c r="VV8" s="2">
        <v>0</v>
      </c>
      <c r="VX8" s="2">
        <v>0</v>
      </c>
      <c r="VY8" s="2">
        <v>0.01</v>
      </c>
      <c r="VZ8" s="2">
        <v>0</v>
      </c>
      <c r="WA8" s="2">
        <v>0</v>
      </c>
      <c r="WB8" s="2">
        <v>0</v>
      </c>
      <c r="WC8" s="2">
        <v>0.05</v>
      </c>
      <c r="WD8" s="2">
        <v>0.11</v>
      </c>
      <c r="WE8" s="2">
        <v>0</v>
      </c>
      <c r="WF8" s="2">
        <v>0</v>
      </c>
      <c r="WG8" s="2">
        <v>0</v>
      </c>
      <c r="WH8" s="2">
        <v>0</v>
      </c>
      <c r="WI8" s="2">
        <v>0</v>
      </c>
      <c r="WJ8" s="2">
        <v>0</v>
      </c>
      <c r="WK8" s="2">
        <v>0</v>
      </c>
      <c r="WL8" s="2">
        <v>1E-3</v>
      </c>
      <c r="WM8" s="2">
        <v>0.83899999999999997</v>
      </c>
      <c r="WN8" s="2">
        <v>0</v>
      </c>
      <c r="WO8" s="2">
        <v>0</v>
      </c>
      <c r="WP8" s="2">
        <v>0</v>
      </c>
      <c r="WQ8" s="2">
        <v>0.26</v>
      </c>
      <c r="WR8" s="2">
        <v>0</v>
      </c>
      <c r="WS8" s="2">
        <v>0</v>
      </c>
      <c r="WT8" s="2">
        <v>0</v>
      </c>
      <c r="WU8" s="2">
        <v>0</v>
      </c>
      <c r="WV8" s="2">
        <v>0</v>
      </c>
      <c r="WW8" s="2">
        <v>0</v>
      </c>
      <c r="WX8" s="2">
        <v>0</v>
      </c>
      <c r="WY8" s="2">
        <v>0.01</v>
      </c>
      <c r="WZ8" s="2">
        <v>0.73</v>
      </c>
      <c r="XA8" s="2">
        <v>0</v>
      </c>
      <c r="XB8" s="2">
        <v>0</v>
      </c>
      <c r="XC8" s="2">
        <v>0</v>
      </c>
      <c r="XD8" s="2">
        <v>0.44</v>
      </c>
      <c r="XE8" s="2">
        <v>0</v>
      </c>
      <c r="XF8" s="2">
        <v>0</v>
      </c>
      <c r="XG8" s="2">
        <v>0</v>
      </c>
      <c r="XH8" s="2">
        <v>0</v>
      </c>
      <c r="XI8" s="2">
        <v>0</v>
      </c>
      <c r="XJ8" s="2">
        <v>0</v>
      </c>
      <c r="XK8" s="2">
        <v>0.4</v>
      </c>
      <c r="XL8" s="2">
        <v>0.01</v>
      </c>
      <c r="XM8" s="2">
        <v>0.15</v>
      </c>
      <c r="XN8" s="2">
        <v>0</v>
      </c>
      <c r="XO8" s="2">
        <v>0</v>
      </c>
      <c r="XP8" s="2">
        <v>0</v>
      </c>
      <c r="XQ8" s="2">
        <v>0.2</v>
      </c>
      <c r="XR8" s="2">
        <v>0</v>
      </c>
      <c r="XS8" s="2">
        <v>0</v>
      </c>
      <c r="XT8" s="2">
        <v>0</v>
      </c>
      <c r="XU8" s="2">
        <v>0</v>
      </c>
      <c r="XV8" s="2">
        <v>0</v>
      </c>
      <c r="XW8" s="2">
        <v>0.1</v>
      </c>
      <c r="XX8" s="2">
        <v>0.63</v>
      </c>
      <c r="XY8" s="2">
        <v>7.0000000000000007E-2</v>
      </c>
      <c r="XZ8" s="2">
        <v>0</v>
      </c>
      <c r="YA8" s="2">
        <v>0</v>
      </c>
      <c r="YB8" s="2">
        <v>0</v>
      </c>
      <c r="YC8" s="2">
        <v>0.11899999999999999</v>
      </c>
      <c r="YD8" s="2">
        <v>0.73</v>
      </c>
      <c r="YF8" s="2">
        <v>0</v>
      </c>
      <c r="YG8" s="2">
        <v>0</v>
      </c>
      <c r="YH8" s="2">
        <v>0</v>
      </c>
      <c r="YI8" s="2">
        <v>0</v>
      </c>
      <c r="YK8" s="2">
        <v>0.15</v>
      </c>
      <c r="YL8" s="2">
        <v>1E-3</v>
      </c>
      <c r="YM8" s="2">
        <v>0</v>
      </c>
      <c r="YN8" s="2">
        <v>0</v>
      </c>
      <c r="YO8" s="2">
        <v>0</v>
      </c>
      <c r="YP8" s="2">
        <v>0</v>
      </c>
      <c r="YQ8" s="2">
        <v>0.26</v>
      </c>
      <c r="YR8" s="2">
        <v>0</v>
      </c>
      <c r="YS8" s="2">
        <v>0</v>
      </c>
      <c r="YT8" s="2">
        <v>0</v>
      </c>
      <c r="YU8" s="2">
        <v>0</v>
      </c>
      <c r="YV8" s="2">
        <v>0</v>
      </c>
      <c r="YW8" s="2">
        <v>0</v>
      </c>
      <c r="YX8" s="2">
        <v>0</v>
      </c>
      <c r="YY8" s="2">
        <v>0.01</v>
      </c>
      <c r="YZ8" s="2">
        <v>0.73</v>
      </c>
      <c r="ZA8" s="2">
        <v>0</v>
      </c>
      <c r="ZB8" s="2">
        <v>0</v>
      </c>
      <c r="ZC8" s="2">
        <v>0</v>
      </c>
      <c r="ZD8" s="2">
        <v>0.44</v>
      </c>
      <c r="ZE8" s="2">
        <v>0</v>
      </c>
      <c r="ZF8" s="2">
        <v>0</v>
      </c>
      <c r="ZG8" s="2">
        <v>0</v>
      </c>
      <c r="ZH8" s="2">
        <v>0</v>
      </c>
      <c r="ZI8" s="2">
        <v>0</v>
      </c>
      <c r="ZJ8" s="2">
        <v>0</v>
      </c>
      <c r="ZK8" s="2">
        <v>0.4</v>
      </c>
      <c r="ZL8" s="2">
        <v>0.01</v>
      </c>
      <c r="ZM8" s="2">
        <v>0.15</v>
      </c>
      <c r="ZN8" s="2">
        <v>0</v>
      </c>
      <c r="ZO8" s="2">
        <v>0</v>
      </c>
      <c r="ZP8" s="2">
        <v>0.01</v>
      </c>
      <c r="ZQ8" s="2">
        <v>0.45</v>
      </c>
      <c r="ZR8" s="2">
        <v>0</v>
      </c>
      <c r="ZS8" s="2">
        <v>0</v>
      </c>
      <c r="ZT8" s="2">
        <v>0</v>
      </c>
      <c r="ZU8" s="2">
        <v>0</v>
      </c>
      <c r="ZV8" s="2">
        <v>0</v>
      </c>
      <c r="ZW8" s="2">
        <v>0</v>
      </c>
      <c r="ZX8" s="2">
        <v>0.14000000000000001</v>
      </c>
      <c r="ZY8" s="2">
        <v>1.6E-2</v>
      </c>
      <c r="ZZ8" s="2">
        <v>0.38400000000000001</v>
      </c>
      <c r="AAA8" s="2">
        <v>0.1</v>
      </c>
      <c r="AAB8" s="2">
        <v>0</v>
      </c>
      <c r="AAC8" s="2">
        <v>0.01</v>
      </c>
      <c r="AAD8" s="2">
        <v>0.38</v>
      </c>
      <c r="AAE8" s="2">
        <v>0</v>
      </c>
      <c r="AAF8" s="2">
        <v>0</v>
      </c>
      <c r="AAG8" s="2">
        <v>0</v>
      </c>
      <c r="AAH8" s="2">
        <v>0</v>
      </c>
      <c r="AAI8" s="2">
        <v>0</v>
      </c>
      <c r="AAJ8" s="2">
        <v>0</v>
      </c>
      <c r="AAK8" s="2">
        <v>6.9000000000000006E-2</v>
      </c>
      <c r="AAL8" s="2">
        <v>1E-3</v>
      </c>
      <c r="AAM8" s="2">
        <v>0.44</v>
      </c>
      <c r="AAN8" s="2">
        <v>0</v>
      </c>
      <c r="AAO8" s="2">
        <v>0</v>
      </c>
      <c r="AAP8" s="2">
        <v>0</v>
      </c>
      <c r="AAQ8" s="2">
        <v>0.12</v>
      </c>
      <c r="AAR8" s="2">
        <v>0</v>
      </c>
      <c r="AAS8" s="2">
        <v>0</v>
      </c>
      <c r="AAT8" s="2">
        <v>0</v>
      </c>
      <c r="AAU8" s="2">
        <v>0</v>
      </c>
      <c r="AAV8" s="2">
        <v>0</v>
      </c>
      <c r="AAW8" s="2">
        <v>0</v>
      </c>
      <c r="AAX8" s="2">
        <v>0.18</v>
      </c>
      <c r="AAY8" s="2">
        <v>0.01</v>
      </c>
      <c r="AAZ8" s="2">
        <v>0.69</v>
      </c>
      <c r="ABA8" s="2">
        <v>0</v>
      </c>
      <c r="ABB8" s="2">
        <v>0</v>
      </c>
      <c r="ABC8" s="2">
        <v>0.01</v>
      </c>
      <c r="ABD8" s="2">
        <v>0.45</v>
      </c>
      <c r="ABE8" s="2">
        <v>0</v>
      </c>
      <c r="ABF8" s="2">
        <v>0</v>
      </c>
      <c r="ABG8" s="2">
        <v>0</v>
      </c>
      <c r="ABH8" s="2">
        <v>0</v>
      </c>
      <c r="ABI8" s="2">
        <v>0</v>
      </c>
      <c r="ABJ8" s="2">
        <v>0</v>
      </c>
      <c r="ABK8" s="2">
        <v>0.14000000000000001</v>
      </c>
      <c r="ABL8" s="2">
        <v>1.6E-2</v>
      </c>
      <c r="ABM8" s="2">
        <v>0.38400000000000001</v>
      </c>
      <c r="ABN8" s="2">
        <v>0.1</v>
      </c>
      <c r="ABO8" s="2">
        <v>0</v>
      </c>
      <c r="ABP8" s="2">
        <v>0.01</v>
      </c>
      <c r="ABQ8" s="2">
        <v>0.38</v>
      </c>
      <c r="ABR8" s="2">
        <v>0</v>
      </c>
      <c r="ABS8" s="2">
        <v>0</v>
      </c>
      <c r="ABT8" s="2">
        <v>0</v>
      </c>
      <c r="ABU8" s="2">
        <v>0</v>
      </c>
      <c r="ABV8" s="2">
        <v>0</v>
      </c>
      <c r="ABW8" s="2">
        <v>0</v>
      </c>
      <c r="ABX8" s="2">
        <v>6.9000000000000006E-2</v>
      </c>
      <c r="ABY8" s="2">
        <v>1E-3</v>
      </c>
      <c r="ABZ8" s="2">
        <v>0.44</v>
      </c>
      <c r="ACA8" s="2">
        <v>0</v>
      </c>
      <c r="ACB8" s="2">
        <v>0</v>
      </c>
      <c r="ACC8" s="2">
        <v>0</v>
      </c>
      <c r="ACD8" s="2">
        <v>0.12</v>
      </c>
      <c r="ACE8" s="2">
        <v>0</v>
      </c>
      <c r="ACF8" s="2">
        <v>0</v>
      </c>
      <c r="ACG8" s="2">
        <v>0</v>
      </c>
      <c r="ACH8" s="2">
        <v>0</v>
      </c>
      <c r="ACI8" s="2">
        <v>0</v>
      </c>
      <c r="ACJ8" s="2">
        <v>0</v>
      </c>
      <c r="ACK8" s="2">
        <v>0.18</v>
      </c>
      <c r="ACL8" s="2">
        <v>0.01</v>
      </c>
      <c r="ACM8" s="2">
        <v>0.69</v>
      </c>
      <c r="ACU8" s="2">
        <v>0</v>
      </c>
      <c r="ACV8" s="2">
        <v>0</v>
      </c>
      <c r="ACW8" s="2">
        <v>0.8</v>
      </c>
      <c r="ACX8" s="2">
        <v>0</v>
      </c>
      <c r="ACY8" s="2">
        <v>0</v>
      </c>
      <c r="ACZ8" s="2">
        <v>0</v>
      </c>
      <c r="ADA8" s="2">
        <v>0</v>
      </c>
      <c r="ADB8" s="2">
        <v>0.19</v>
      </c>
      <c r="ADC8" s="2">
        <v>0.01</v>
      </c>
      <c r="ADD8" s="2">
        <v>0</v>
      </c>
      <c r="ADE8" s="2">
        <v>0</v>
      </c>
      <c r="ADF8" s="2">
        <v>1</v>
      </c>
      <c r="ADG8" s="2">
        <v>0</v>
      </c>
      <c r="ADH8" s="2">
        <v>0</v>
      </c>
      <c r="ADI8" s="2">
        <v>0</v>
      </c>
      <c r="ADJ8" s="2">
        <v>0</v>
      </c>
      <c r="ADK8" s="2">
        <v>0</v>
      </c>
      <c r="ADL8" s="2">
        <v>0</v>
      </c>
      <c r="ADM8" s="2">
        <v>0</v>
      </c>
      <c r="ADN8" s="2">
        <v>0</v>
      </c>
      <c r="ADO8" s="2">
        <v>0.28000000000000003</v>
      </c>
      <c r="ADP8" s="2">
        <v>0</v>
      </c>
      <c r="ADQ8" s="2">
        <v>0</v>
      </c>
      <c r="ADR8" s="2">
        <v>0</v>
      </c>
      <c r="ADS8" s="2">
        <v>0.1</v>
      </c>
      <c r="ADT8" s="2">
        <v>0.06</v>
      </c>
      <c r="ADU8" s="2">
        <v>0.56000000000000005</v>
      </c>
      <c r="ADV8" s="2">
        <v>0</v>
      </c>
      <c r="ADW8" s="2">
        <v>0</v>
      </c>
      <c r="ADX8" s="2">
        <v>1</v>
      </c>
      <c r="ADY8" s="2">
        <v>0.1</v>
      </c>
      <c r="ADZ8" s="2">
        <v>0.9</v>
      </c>
      <c r="AEA8" s="2">
        <v>0</v>
      </c>
      <c r="AEB8" s="2">
        <v>1</v>
      </c>
      <c r="AEC8" s="2">
        <v>0</v>
      </c>
      <c r="AED8" s="2">
        <v>0</v>
      </c>
      <c r="AEE8" s="2">
        <v>0</v>
      </c>
      <c r="AEF8" s="2">
        <v>0</v>
      </c>
      <c r="AEG8" s="2">
        <v>0</v>
      </c>
      <c r="AEH8" s="2">
        <v>1</v>
      </c>
      <c r="AEI8" s="2">
        <v>0</v>
      </c>
      <c r="AEJ8" s="2">
        <v>0</v>
      </c>
      <c r="AEK8" s="2">
        <v>0</v>
      </c>
      <c r="AEL8" s="2">
        <v>1</v>
      </c>
      <c r="AEM8" s="2">
        <v>0</v>
      </c>
      <c r="AEN8" s="2">
        <v>0</v>
      </c>
      <c r="AEO8" s="2">
        <v>0</v>
      </c>
      <c r="AEP8" s="2">
        <v>0</v>
      </c>
      <c r="AEQ8" s="2">
        <v>1</v>
      </c>
      <c r="AER8" s="2">
        <v>0</v>
      </c>
      <c r="AES8" s="2">
        <v>0</v>
      </c>
      <c r="AET8" s="2">
        <v>0</v>
      </c>
      <c r="AEU8" s="2">
        <v>0</v>
      </c>
      <c r="AEV8" s="2">
        <v>0</v>
      </c>
      <c r="AEW8" s="2">
        <v>0.01</v>
      </c>
      <c r="AEX8" s="2">
        <v>0</v>
      </c>
      <c r="AEY8" s="2">
        <v>0</v>
      </c>
      <c r="AEZ8" s="2">
        <v>0</v>
      </c>
      <c r="AFA8" s="2">
        <v>0</v>
      </c>
      <c r="AFB8" s="2">
        <v>0</v>
      </c>
      <c r="AFC8" s="2">
        <v>0</v>
      </c>
      <c r="AFD8" s="2">
        <v>0</v>
      </c>
      <c r="AFE8" s="2">
        <v>0.3</v>
      </c>
      <c r="AFF8" s="2">
        <v>0</v>
      </c>
      <c r="AFG8" s="2">
        <v>0.7</v>
      </c>
      <c r="AFH8" s="2">
        <v>0</v>
      </c>
      <c r="AFI8" s="2">
        <v>0</v>
      </c>
      <c r="AFJ8" s="2">
        <v>0</v>
      </c>
      <c r="AFK8" s="2">
        <v>0</v>
      </c>
      <c r="AFL8" s="2">
        <v>0</v>
      </c>
      <c r="AFM8" s="2">
        <v>0</v>
      </c>
      <c r="AGB8" s="2">
        <v>0.37380000000000002</v>
      </c>
      <c r="AGC8" s="2">
        <v>0.26700000000000002</v>
      </c>
      <c r="AGD8" s="2">
        <v>60</v>
      </c>
      <c r="AGE8" s="2">
        <v>3.5</v>
      </c>
      <c r="AGF8" s="2">
        <v>3.8</v>
      </c>
      <c r="AGG8" s="2">
        <v>2.6753999999999998</v>
      </c>
      <c r="AGH8" s="2">
        <v>2.474745</v>
      </c>
      <c r="AGI8" s="2">
        <v>3.746</v>
      </c>
      <c r="AGJ8" s="2">
        <v>3.5</v>
      </c>
      <c r="AGK8" s="2">
        <v>0.28999999999999998</v>
      </c>
      <c r="AGL8" s="2">
        <v>0.10199999999999999</v>
      </c>
      <c r="AGM8" s="2">
        <v>0.1</v>
      </c>
      <c r="AGN8" s="2">
        <v>0.28999999999999998</v>
      </c>
      <c r="AGO8" s="2">
        <v>0.224</v>
      </c>
      <c r="AGP8" s="2">
        <v>0.21</v>
      </c>
      <c r="AGQ8" s="2">
        <v>2.5</v>
      </c>
      <c r="AGR8" s="2">
        <v>3</v>
      </c>
      <c r="AGS8" s="2">
        <v>1.911</v>
      </c>
      <c r="AGT8" s="2">
        <v>1.7676750000000001</v>
      </c>
      <c r="AGU8" s="2">
        <v>0.26800000000000002</v>
      </c>
      <c r="AGV8" s="2">
        <v>2.5</v>
      </c>
      <c r="AGW8" s="2">
        <v>3.5</v>
      </c>
      <c r="AGX8" s="2">
        <v>3.8219999999999898</v>
      </c>
      <c r="AGY8" s="2">
        <v>2.6753999999999998</v>
      </c>
      <c r="AGZ8" s="2">
        <v>2.474745</v>
      </c>
      <c r="AHA8" s="2">
        <v>3.746</v>
      </c>
      <c r="AHB8" s="2">
        <v>3.5</v>
      </c>
      <c r="AHC8" s="2">
        <v>11</v>
      </c>
      <c r="AHD8" s="2">
        <v>13</v>
      </c>
      <c r="AHE8" s="2">
        <v>16</v>
      </c>
      <c r="AHF8" s="2">
        <v>9.25</v>
      </c>
      <c r="AHG8" s="2">
        <v>14</v>
      </c>
      <c r="AHH8" s="2">
        <v>7.0000000000000007E-2</v>
      </c>
      <c r="AHI8" s="2">
        <v>1.02</v>
      </c>
      <c r="AHJ8" s="2">
        <v>0.1</v>
      </c>
      <c r="AHK8" s="2">
        <v>0</v>
      </c>
      <c r="AHL8" s="2">
        <v>0</v>
      </c>
      <c r="AHM8" s="2">
        <v>0</v>
      </c>
      <c r="AHN8" s="2">
        <v>0</v>
      </c>
      <c r="AHO8" s="2">
        <v>0</v>
      </c>
      <c r="AHP8" s="2">
        <v>0</v>
      </c>
      <c r="AHQ8" s="2">
        <v>84.3</v>
      </c>
      <c r="AHR8" s="2">
        <v>10.8</v>
      </c>
      <c r="AHS8" s="2">
        <v>22.18</v>
      </c>
      <c r="AHT8" s="2">
        <v>2.2360000000000002</v>
      </c>
      <c r="AHU8" s="2">
        <v>0.4</v>
      </c>
      <c r="AHV8" s="2">
        <v>0.6</v>
      </c>
      <c r="AHW8" s="2">
        <v>0.9</v>
      </c>
      <c r="AHX8" s="2">
        <v>0.45</v>
      </c>
      <c r="AHY8" s="2">
        <v>0.3</v>
      </c>
      <c r="AHZ8" s="2">
        <v>1316</v>
      </c>
      <c r="AIA8" s="2">
        <v>105</v>
      </c>
      <c r="AIB8" s="2">
        <v>11520</v>
      </c>
      <c r="AIC8" s="2">
        <v>150</v>
      </c>
      <c r="AID8" s="2">
        <v>0</v>
      </c>
      <c r="AIE8" s="2">
        <v>0</v>
      </c>
      <c r="AIF8" s="2">
        <v>0</v>
      </c>
      <c r="AIG8" s="2">
        <v>0</v>
      </c>
      <c r="AIH8" s="2">
        <v>0</v>
      </c>
      <c r="AII8" s="2">
        <v>0</v>
      </c>
      <c r="AIJ8" s="2">
        <v>0</v>
      </c>
      <c r="AIK8" s="2">
        <v>0</v>
      </c>
      <c r="AIL8" s="2">
        <v>0</v>
      </c>
      <c r="AIM8" s="2">
        <v>0</v>
      </c>
      <c r="AIN8" s="2">
        <v>0</v>
      </c>
      <c r="AIO8" s="2">
        <v>0</v>
      </c>
      <c r="AIP8" s="2">
        <v>-999</v>
      </c>
      <c r="AIQ8" s="2">
        <v>-999</v>
      </c>
      <c r="AIR8" s="2">
        <v>-999</v>
      </c>
      <c r="AIS8" s="2">
        <v>-999</v>
      </c>
      <c r="AIT8" s="2">
        <v>-999</v>
      </c>
      <c r="AIU8" s="2">
        <v>-999</v>
      </c>
      <c r="AIV8" s="2">
        <v>-999</v>
      </c>
      <c r="AIW8" s="2">
        <v>-999</v>
      </c>
      <c r="AIX8" s="2">
        <v>-999</v>
      </c>
      <c r="AIY8" s="2">
        <v>-999</v>
      </c>
      <c r="AIZ8" s="2">
        <v>-999</v>
      </c>
      <c r="AJA8" s="2">
        <v>-999</v>
      </c>
      <c r="AJB8" s="2">
        <v>1200</v>
      </c>
      <c r="AJC8" s="2">
        <v>800</v>
      </c>
      <c r="AJD8" s="2">
        <v>800</v>
      </c>
      <c r="AJE8" s="2">
        <v>4335</v>
      </c>
      <c r="AJF8" s="2">
        <v>4525</v>
      </c>
      <c r="AJG8" s="2">
        <v>6625</v>
      </c>
      <c r="AJH8" s="2">
        <v>4074</v>
      </c>
      <c r="AJI8" s="2">
        <v>2845</v>
      </c>
      <c r="AJJ8" s="2">
        <v>1131.5</v>
      </c>
      <c r="AJK8" s="2">
        <v>3076</v>
      </c>
      <c r="AJL8" s="2">
        <v>3083</v>
      </c>
      <c r="AJM8" s="2">
        <v>7289</v>
      </c>
      <c r="AJN8" s="2">
        <v>3998</v>
      </c>
      <c r="AJO8" s="2">
        <v>3998</v>
      </c>
      <c r="AJP8" s="2">
        <v>850</v>
      </c>
      <c r="AJQ8" s="2">
        <v>3678</v>
      </c>
      <c r="AJR8" s="2">
        <v>3880</v>
      </c>
      <c r="AJS8" s="2">
        <v>167.02500000000001</v>
      </c>
      <c r="AJT8" s="2">
        <v>74.266037735848997</v>
      </c>
      <c r="AJU8" s="8">
        <v>3.358E-5</v>
      </c>
      <c r="AJV8" s="2">
        <v>1.0099</v>
      </c>
      <c r="AJW8" s="8">
        <v>5.8769999999999998E-6</v>
      </c>
      <c r="AJX8" s="2">
        <v>2.6086956521739101E-4</v>
      </c>
      <c r="AJY8" s="2">
        <v>6.3739130434782503</v>
      </c>
      <c r="AJZ8" s="8">
        <v>5.2173913043478202E-5</v>
      </c>
      <c r="AKA8" s="2">
        <v>1</v>
      </c>
      <c r="AKB8" s="2">
        <v>1</v>
      </c>
      <c r="AKC8" s="2">
        <v>1</v>
      </c>
      <c r="AKD8" s="2">
        <v>1</v>
      </c>
      <c r="AKE8" s="2">
        <v>1</v>
      </c>
      <c r="AKF8" s="2">
        <v>1</v>
      </c>
      <c r="AKG8" s="2">
        <v>1</v>
      </c>
      <c r="AKH8" s="2">
        <v>0.1</v>
      </c>
      <c r="AKI8" s="2">
        <v>1</v>
      </c>
      <c r="AKJ8" s="2">
        <v>1</v>
      </c>
      <c r="AKK8" s="2">
        <v>1</v>
      </c>
      <c r="AKL8" s="2">
        <v>1</v>
      </c>
      <c r="AKM8" s="2">
        <v>1</v>
      </c>
      <c r="AKN8" s="2">
        <v>0.1</v>
      </c>
      <c r="AKO8" s="2">
        <v>1</v>
      </c>
      <c r="AKP8" s="2">
        <v>1</v>
      </c>
      <c r="AKQ8" s="2">
        <v>1</v>
      </c>
      <c r="AKR8" s="2">
        <v>1</v>
      </c>
      <c r="AKS8" s="2">
        <v>1</v>
      </c>
      <c r="AKT8" s="2">
        <v>1</v>
      </c>
      <c r="AKU8" s="2">
        <v>1</v>
      </c>
      <c r="AKV8" s="2">
        <v>1</v>
      </c>
      <c r="AKW8" s="2">
        <v>1</v>
      </c>
      <c r="AKX8" s="2">
        <v>1</v>
      </c>
      <c r="AKY8" s="2">
        <v>1</v>
      </c>
      <c r="AKZ8" s="2">
        <v>1</v>
      </c>
      <c r="ALA8" s="2">
        <v>1</v>
      </c>
      <c r="ALB8" s="2">
        <v>1</v>
      </c>
      <c r="ALC8" s="2">
        <v>1</v>
      </c>
      <c r="ALD8" s="2">
        <v>1</v>
      </c>
      <c r="ALE8" s="2">
        <v>1</v>
      </c>
      <c r="ALF8" s="2">
        <v>1</v>
      </c>
      <c r="ALG8" s="2">
        <v>1</v>
      </c>
      <c r="ALH8" s="2">
        <v>1</v>
      </c>
      <c r="ALI8" s="2">
        <v>1</v>
      </c>
      <c r="ALJ8" s="2">
        <v>1</v>
      </c>
      <c r="ALK8" s="2">
        <v>1</v>
      </c>
      <c r="ALL8" s="2">
        <v>1</v>
      </c>
      <c r="ALM8" s="2">
        <v>1</v>
      </c>
      <c r="ALN8" s="2">
        <v>1</v>
      </c>
      <c r="ALO8" s="2">
        <v>1</v>
      </c>
      <c r="ALP8" s="2">
        <v>1</v>
      </c>
      <c r="ALQ8" s="2">
        <v>300</v>
      </c>
      <c r="ALR8" s="2">
        <v>150</v>
      </c>
      <c r="ALS8" s="2">
        <v>150</v>
      </c>
      <c r="ALT8" s="2">
        <v>151.72999999999999</v>
      </c>
      <c r="ALU8" s="2">
        <v>131.62</v>
      </c>
      <c r="ALV8" s="2">
        <v>62.34</v>
      </c>
      <c r="ALW8" s="2">
        <v>42.49</v>
      </c>
      <c r="ALX8" s="2">
        <v>28.89</v>
      </c>
      <c r="ALY8" s="2">
        <v>13.77</v>
      </c>
      <c r="ALZ8" s="2">
        <v>143.22</v>
      </c>
      <c r="AMA8" s="2">
        <v>43.78</v>
      </c>
      <c r="AMB8" s="2">
        <v>113.41</v>
      </c>
      <c r="AMC8" s="2">
        <v>71.94</v>
      </c>
      <c r="AMD8" s="2">
        <v>71.94</v>
      </c>
      <c r="AME8" s="2">
        <v>24.82</v>
      </c>
      <c r="AMF8" s="2">
        <v>24.26</v>
      </c>
      <c r="AMG8" s="2">
        <v>71.37</v>
      </c>
      <c r="AMH8" s="2">
        <v>0</v>
      </c>
      <c r="AMI8" s="2">
        <v>0</v>
      </c>
      <c r="AMJ8" s="2">
        <v>0</v>
      </c>
      <c r="AMK8" s="2">
        <v>0</v>
      </c>
      <c r="AML8" s="9">
        <v>9.0538705296514255E-3</v>
      </c>
      <c r="AMM8" s="2">
        <v>0.38900444129054357</v>
      </c>
      <c r="AMN8" s="2">
        <v>0</v>
      </c>
      <c r="AMO8" s="2">
        <v>0</v>
      </c>
      <c r="AMP8" s="2">
        <v>0</v>
      </c>
      <c r="AMQ8" s="2">
        <v>0</v>
      </c>
      <c r="AMR8" s="2">
        <v>0.30330466274332274</v>
      </c>
      <c r="AMS8" s="2">
        <v>0</v>
      </c>
      <c r="AMT8" s="2">
        <v>0</v>
      </c>
      <c r="AMU8" s="2">
        <v>0.25564949286090072</v>
      </c>
      <c r="AMV8" s="2">
        <v>2.2695851125004586E-2</v>
      </c>
      <c r="AMW8" s="2">
        <v>0</v>
      </c>
      <c r="AMX8" s="2">
        <v>2.0291681450576877E-2</v>
      </c>
      <c r="AMY8" s="2">
        <v>1.3034433554879601</v>
      </c>
      <c r="AMZ8" s="2">
        <v>0</v>
      </c>
      <c r="ANA8" s="2">
        <v>1.9670000000000001</v>
      </c>
      <c r="ANB8" s="2">
        <v>0</v>
      </c>
      <c r="ANC8" s="2">
        <v>0</v>
      </c>
      <c r="AND8" s="2">
        <v>1.3149999999999999</v>
      </c>
      <c r="ANE8" s="2">
        <v>0</v>
      </c>
      <c r="ANF8" s="2">
        <v>8.8768668407310704E-3</v>
      </c>
      <c r="ANG8" s="2">
        <v>1</v>
      </c>
      <c r="ANH8" s="2">
        <v>1.0869565217391299</v>
      </c>
      <c r="ANI8" s="2">
        <v>0</v>
      </c>
      <c r="ANJ8" s="2">
        <v>1.00230179028132</v>
      </c>
      <c r="ANK8" s="2">
        <v>7.8260869565217606E-3</v>
      </c>
      <c r="ANL8" s="2">
        <v>7.3657289002557703E-3</v>
      </c>
      <c r="ANM8" s="2">
        <v>4.6035805626598499E-4</v>
      </c>
      <c r="ANN8" s="2">
        <v>5.0639386189258399E-3</v>
      </c>
      <c r="ANO8" s="2">
        <v>0</v>
      </c>
      <c r="ANP8" s="2">
        <v>3.7634408602150601E-2</v>
      </c>
      <c r="ANQ8" s="2">
        <v>3.5420619860847602E-2</v>
      </c>
      <c r="ANR8" s="2">
        <v>2.2137887413029699E-3</v>
      </c>
      <c r="ANS8" s="2">
        <v>0</v>
      </c>
      <c r="ANT8" s="2">
        <v>0</v>
      </c>
      <c r="ANU8" s="2">
        <v>4.0540540540540397E-2</v>
      </c>
      <c r="ANV8" s="2">
        <v>3.8155802861685101E-2</v>
      </c>
      <c r="ANW8" s="2">
        <v>2.3847376788553201E-3</v>
      </c>
      <c r="ANX8" s="2">
        <v>0</v>
      </c>
      <c r="ANY8" s="2">
        <v>0</v>
      </c>
      <c r="ANZ8" s="2">
        <v>1</v>
      </c>
      <c r="AOA8" s="2">
        <v>1</v>
      </c>
      <c r="AOB8" s="2">
        <v>1</v>
      </c>
      <c r="AOC8" s="2">
        <v>2.76E-2</v>
      </c>
      <c r="AOD8" s="2">
        <v>0.94899999999999995</v>
      </c>
      <c r="AOE8" s="2">
        <v>0.2969</v>
      </c>
      <c r="AOF8" s="2">
        <v>0.47910000000000003</v>
      </c>
      <c r="AOG8" s="2">
        <v>0.04</v>
      </c>
      <c r="AOH8" s="2">
        <v>8.5949999999999999E-2</v>
      </c>
      <c r="AOI8" s="2">
        <v>1.405E-2</v>
      </c>
      <c r="AOJ8" s="2">
        <v>1</v>
      </c>
      <c r="AOK8" s="2">
        <v>1</v>
      </c>
      <c r="AOL8" s="2">
        <v>1</v>
      </c>
      <c r="AOM8" s="2">
        <v>0</v>
      </c>
      <c r="AON8" s="2">
        <v>1</v>
      </c>
      <c r="AOO8" s="2">
        <v>0</v>
      </c>
      <c r="AOP8" s="2">
        <v>0</v>
      </c>
      <c r="AOQ8" s="2">
        <v>0</v>
      </c>
      <c r="AOR8" s="2">
        <v>0</v>
      </c>
      <c r="AOS8" s="2">
        <v>1</v>
      </c>
      <c r="AOT8" s="2">
        <v>1</v>
      </c>
      <c r="AOU8" s="2">
        <v>0</v>
      </c>
      <c r="AOV8" s="2">
        <v>1</v>
      </c>
      <c r="AOW8" s="2">
        <v>0</v>
      </c>
      <c r="AOX8" s="2">
        <v>1</v>
      </c>
      <c r="AOY8" s="2">
        <v>0</v>
      </c>
      <c r="AOZ8" s="2">
        <v>1</v>
      </c>
      <c r="APA8" s="2">
        <v>1</v>
      </c>
      <c r="APB8" s="2">
        <v>1</v>
      </c>
      <c r="APC8" s="2">
        <v>1</v>
      </c>
      <c r="APD8" s="2">
        <v>1</v>
      </c>
      <c r="APE8" s="2">
        <v>1.1499999999999999</v>
      </c>
      <c r="APF8" s="2">
        <v>0</v>
      </c>
      <c r="APG8" s="2">
        <v>1</v>
      </c>
      <c r="APH8" s="2">
        <v>0</v>
      </c>
      <c r="API8" s="2">
        <v>1</v>
      </c>
      <c r="APJ8" s="2">
        <v>1</v>
      </c>
      <c r="APK8" s="2">
        <v>1</v>
      </c>
      <c r="APL8" s="2">
        <v>1</v>
      </c>
      <c r="APM8" s="2">
        <v>1</v>
      </c>
      <c r="APN8" s="2">
        <v>1</v>
      </c>
      <c r="APO8" s="2">
        <v>1</v>
      </c>
      <c r="APP8" s="2">
        <v>1</v>
      </c>
      <c r="APQ8" s="2">
        <v>0.5</v>
      </c>
      <c r="APR8" s="2">
        <v>0</v>
      </c>
      <c r="APS8" s="2">
        <v>1</v>
      </c>
      <c r="APT8" s="2">
        <v>0.25</v>
      </c>
      <c r="APU8" s="2">
        <v>0.25</v>
      </c>
      <c r="APV8" s="2">
        <v>0.25</v>
      </c>
      <c r="APW8" s="2">
        <v>0.25</v>
      </c>
      <c r="APX8" s="2">
        <v>0</v>
      </c>
      <c r="APY8" s="2">
        <v>0.5</v>
      </c>
      <c r="APZ8" s="2">
        <v>0</v>
      </c>
      <c r="AQA8" s="2">
        <v>0</v>
      </c>
      <c r="AQB8" s="2">
        <v>0</v>
      </c>
      <c r="AQC8" s="2">
        <v>0</v>
      </c>
      <c r="AQD8" s="2">
        <v>198.95</v>
      </c>
      <c r="AQE8" s="2">
        <v>0.4</v>
      </c>
      <c r="AQF8" s="2">
        <v>0</v>
      </c>
      <c r="AQG8" s="2">
        <v>0</v>
      </c>
      <c r="AQH8" s="2">
        <v>0</v>
      </c>
      <c r="AQI8" s="2">
        <v>3</v>
      </c>
      <c r="AQJ8" s="2">
        <v>0</v>
      </c>
      <c r="AQK8" s="2">
        <v>25</v>
      </c>
      <c r="AQL8" s="2">
        <v>0</v>
      </c>
      <c r="AQM8" s="2">
        <v>-999</v>
      </c>
      <c r="AQN8" s="2">
        <v>-999</v>
      </c>
      <c r="AQO8" s="2">
        <v>-999</v>
      </c>
      <c r="AQP8" s="2">
        <v>-999</v>
      </c>
      <c r="AQQ8" s="2">
        <v>-999</v>
      </c>
      <c r="AQR8" s="2">
        <v>-999</v>
      </c>
      <c r="AQS8" s="2">
        <v>-999</v>
      </c>
      <c r="AQT8" s="2">
        <v>-999</v>
      </c>
      <c r="AQU8" s="2">
        <v>-999</v>
      </c>
      <c r="AQV8" s="2">
        <v>-999</v>
      </c>
      <c r="AQW8" s="2">
        <v>-999</v>
      </c>
      <c r="AQX8" s="2">
        <v>-999</v>
      </c>
      <c r="AQY8" s="2">
        <v>-999</v>
      </c>
      <c r="AQZ8" s="2">
        <v>0</v>
      </c>
      <c r="ARA8" s="2">
        <v>-999</v>
      </c>
      <c r="ARB8" s="2">
        <v>-999</v>
      </c>
      <c r="ARC8" s="2">
        <v>-999</v>
      </c>
      <c r="ARD8" s="2">
        <v>-999</v>
      </c>
      <c r="ARE8" s="2">
        <v>-999</v>
      </c>
      <c r="ARF8" s="2">
        <v>-999</v>
      </c>
      <c r="ARG8" s="2">
        <v>-999</v>
      </c>
      <c r="ARH8" s="2">
        <v>-999</v>
      </c>
      <c r="ARI8" s="2">
        <v>-999</v>
      </c>
      <c r="ARJ8" s="2">
        <v>-999</v>
      </c>
      <c r="ARK8" s="2">
        <v>-999</v>
      </c>
      <c r="ARL8" s="2">
        <v>-999</v>
      </c>
      <c r="ARM8" s="2">
        <v>-999</v>
      </c>
      <c r="ARN8" s="2">
        <v>-999</v>
      </c>
      <c r="ARO8" s="2">
        <v>-999</v>
      </c>
      <c r="ARP8" s="2">
        <v>-999</v>
      </c>
      <c r="ARQ8" s="2">
        <v>-999</v>
      </c>
      <c r="ARR8" s="2">
        <v>-999</v>
      </c>
      <c r="ARS8" s="2">
        <v>-999</v>
      </c>
      <c r="ART8" s="2">
        <v>-999</v>
      </c>
      <c r="ARU8" s="2">
        <v>-999</v>
      </c>
      <c r="ARV8" s="2">
        <v>-999</v>
      </c>
      <c r="ARW8" s="2">
        <v>-999</v>
      </c>
      <c r="ARX8" s="2">
        <v>-999</v>
      </c>
      <c r="ARY8" s="2">
        <v>-999</v>
      </c>
      <c r="ARZ8" s="2">
        <v>-999</v>
      </c>
      <c r="ASA8" s="2">
        <v>-999</v>
      </c>
      <c r="ASB8" s="2">
        <v>-999</v>
      </c>
      <c r="ASC8" s="2">
        <v>-999</v>
      </c>
      <c r="ASD8" s="2">
        <v>-999</v>
      </c>
      <c r="ASE8" s="2">
        <v>-999</v>
      </c>
      <c r="ASF8" s="2">
        <v>-999</v>
      </c>
      <c r="ASG8" s="2">
        <v>-999</v>
      </c>
      <c r="ASH8" s="2">
        <v>-999</v>
      </c>
      <c r="ASI8" s="2">
        <v>-999</v>
      </c>
      <c r="ASJ8" s="2">
        <v>-999</v>
      </c>
      <c r="ASK8" s="2">
        <v>-999</v>
      </c>
      <c r="ASL8" s="2">
        <v>-999</v>
      </c>
      <c r="ASM8" s="2">
        <v>-999</v>
      </c>
      <c r="ASN8" s="2">
        <v>-999</v>
      </c>
      <c r="ASO8" s="2">
        <v>-999</v>
      </c>
      <c r="ASP8" s="2">
        <v>4.51</v>
      </c>
      <c r="ASQ8" s="2">
        <v>133</v>
      </c>
      <c r="ASR8" s="2">
        <v>11.49</v>
      </c>
      <c r="ASS8" s="2">
        <v>78.8</v>
      </c>
      <c r="AST8" s="2">
        <v>6.11</v>
      </c>
      <c r="ASU8" s="2">
        <v>2.3199999999999998</v>
      </c>
      <c r="ASV8" s="2">
        <v>1.21</v>
      </c>
      <c r="ASW8" s="2">
        <v>26</v>
      </c>
      <c r="ASX8" s="2">
        <v>2.81</v>
      </c>
      <c r="ASY8" s="2">
        <v>3.22</v>
      </c>
      <c r="ASZ8" s="2">
        <v>183.3</v>
      </c>
      <c r="ATA8" s="2">
        <v>30</v>
      </c>
      <c r="ATB8" s="2">
        <v>120</v>
      </c>
      <c r="ATC8" s="2">
        <v>40</v>
      </c>
      <c r="ATD8" s="2">
        <v>0.3</v>
      </c>
      <c r="ATE8" s="2">
        <v>1.55</v>
      </c>
      <c r="ATF8" s="2">
        <v>0</v>
      </c>
      <c r="ATG8" s="2">
        <v>1.8140000000000001</v>
      </c>
      <c r="ATI8" s="2">
        <v>250</v>
      </c>
      <c r="ATJ8" s="2">
        <v>1</v>
      </c>
      <c r="ATK8" s="2">
        <v>2</v>
      </c>
      <c r="ATL8" s="2">
        <v>70</v>
      </c>
      <c r="ATM8" s="2">
        <v>470</v>
      </c>
      <c r="ATN8" s="2">
        <v>15</v>
      </c>
      <c r="ATO8" s="2">
        <v>2.8</v>
      </c>
      <c r="ATP8" s="2">
        <v>15</v>
      </c>
      <c r="ATQ8" s="2">
        <v>3.7</v>
      </c>
      <c r="ATR8" s="10">
        <v>17817298</v>
      </c>
      <c r="ATS8" s="10">
        <v>4101702</v>
      </c>
      <c r="ATT8" s="2">
        <v>100000</v>
      </c>
      <c r="ATU8" s="2">
        <v>80000</v>
      </c>
      <c r="ATV8" s="2">
        <v>5000</v>
      </c>
      <c r="ATW8" s="2">
        <v>14000</v>
      </c>
      <c r="ATX8" s="2">
        <v>1400</v>
      </c>
      <c r="ATY8" s="2">
        <v>10000</v>
      </c>
      <c r="ATZ8" s="2">
        <v>108</v>
      </c>
      <c r="AUA8" s="2">
        <v>105000</v>
      </c>
      <c r="AUB8" s="2">
        <v>100000</v>
      </c>
      <c r="AUC8" s="2">
        <v>0</v>
      </c>
      <c r="AUD8" s="2">
        <v>0</v>
      </c>
      <c r="AUE8" s="2">
        <v>0</v>
      </c>
      <c r="AUF8" s="2">
        <v>0</v>
      </c>
      <c r="AUG8" s="2">
        <v>0</v>
      </c>
      <c r="AUH8" s="2">
        <v>0</v>
      </c>
      <c r="AUI8" s="2">
        <v>5000</v>
      </c>
      <c r="AUJ8" s="2">
        <v>400000</v>
      </c>
      <c r="AUK8" s="2">
        <v>1424850.75</v>
      </c>
      <c r="AUL8" s="2">
        <v>0</v>
      </c>
      <c r="AUM8" s="2">
        <v>0.9</v>
      </c>
      <c r="AUN8" s="2">
        <v>1.2</v>
      </c>
      <c r="AUO8" s="2">
        <v>0.01</v>
      </c>
      <c r="AUP8" s="2">
        <v>2.6</v>
      </c>
      <c r="AUQ8" s="2">
        <v>0</v>
      </c>
      <c r="AUR8" s="2">
        <v>7.8</v>
      </c>
      <c r="AUS8" s="2">
        <v>0.6</v>
      </c>
      <c r="AUT8" s="2">
        <v>6</v>
      </c>
      <c r="AUU8" s="2">
        <v>0</v>
      </c>
      <c r="AUV8" s="2">
        <v>0</v>
      </c>
      <c r="AUW8" s="2">
        <v>0</v>
      </c>
      <c r="AUX8" s="2">
        <v>0</v>
      </c>
      <c r="AUY8" s="2">
        <v>0.1</v>
      </c>
      <c r="AUZ8" s="2">
        <v>2</v>
      </c>
      <c r="AVA8" s="2">
        <v>4</v>
      </c>
      <c r="AVB8" s="2">
        <v>0.6</v>
      </c>
      <c r="AVC8" s="2">
        <v>0.5</v>
      </c>
      <c r="AVD8" s="2">
        <v>0.95</v>
      </c>
      <c r="AVE8" s="2">
        <v>1</v>
      </c>
      <c r="AVF8" s="2">
        <v>1</v>
      </c>
      <c r="AVG8" s="2">
        <v>1</v>
      </c>
      <c r="AVH8" s="2">
        <v>1</v>
      </c>
      <c r="AVI8" s="2">
        <v>1</v>
      </c>
      <c r="AVJ8" s="2">
        <v>1</v>
      </c>
      <c r="AVK8" s="2">
        <v>1</v>
      </c>
      <c r="AVL8" s="2">
        <v>1</v>
      </c>
      <c r="AVM8" s="2">
        <v>1</v>
      </c>
      <c r="AVN8" s="2">
        <v>1</v>
      </c>
      <c r="AVO8" s="2">
        <v>1</v>
      </c>
      <c r="AVP8" s="2">
        <v>1</v>
      </c>
      <c r="AVQ8" s="2">
        <v>1</v>
      </c>
      <c r="AVR8" s="2">
        <v>1</v>
      </c>
      <c r="AVS8" s="2">
        <v>1</v>
      </c>
      <c r="AVT8" s="2">
        <v>1</v>
      </c>
      <c r="AVU8" s="2">
        <v>1</v>
      </c>
      <c r="AVV8" s="2">
        <v>1</v>
      </c>
      <c r="AVW8" s="2">
        <v>1</v>
      </c>
      <c r="AVX8" s="2">
        <v>1</v>
      </c>
      <c r="AVY8" s="2">
        <v>1</v>
      </c>
      <c r="AVZ8" s="2">
        <v>1</v>
      </c>
      <c r="AWA8" s="2">
        <v>1</v>
      </c>
      <c r="AWB8" s="2">
        <v>1</v>
      </c>
      <c r="AWC8" s="2">
        <v>1</v>
      </c>
      <c r="AWD8" s="2">
        <v>1</v>
      </c>
      <c r="AWE8" s="2">
        <v>60</v>
      </c>
      <c r="AWF8" s="2">
        <v>5</v>
      </c>
      <c r="AWG8" s="2">
        <v>4.5</v>
      </c>
      <c r="AWH8" s="2">
        <v>74.14</v>
      </c>
      <c r="AWI8" s="2">
        <v>14.57</v>
      </c>
      <c r="AWJ8" s="2">
        <v>14.57</v>
      </c>
      <c r="AWK8" s="2">
        <v>0.45</v>
      </c>
      <c r="AWL8" s="2">
        <v>25</v>
      </c>
      <c r="AWM8" s="2">
        <v>2</v>
      </c>
      <c r="AWN8" s="2">
        <v>1</v>
      </c>
      <c r="AWO8" s="2">
        <v>4</v>
      </c>
      <c r="AWP8" s="2">
        <v>25</v>
      </c>
      <c r="AWQ8" s="2">
        <v>5</v>
      </c>
      <c r="AWR8" s="2">
        <v>19</v>
      </c>
      <c r="AWS8" s="2">
        <v>25</v>
      </c>
      <c r="AWT8" s="2">
        <v>2</v>
      </c>
      <c r="AWU8" s="2">
        <v>3.4</v>
      </c>
      <c r="AWV8" s="2">
        <v>3</v>
      </c>
      <c r="AWW8" s="2">
        <v>4</v>
      </c>
      <c r="AWX8" s="2">
        <v>16</v>
      </c>
      <c r="AWY8" s="2">
        <v>16</v>
      </c>
      <c r="AWZ8" s="2">
        <v>25</v>
      </c>
      <c r="AXA8" s="2">
        <v>25</v>
      </c>
      <c r="AXB8" s="2">
        <v>25</v>
      </c>
    </row>
    <row r="9" spans="1:1302" x14ac:dyDescent="0.3">
      <c r="A9" s="1">
        <v>2019</v>
      </c>
      <c r="B9" s="2">
        <v>6552500</v>
      </c>
      <c r="C9" s="2">
        <v>0</v>
      </c>
      <c r="D9" s="2">
        <v>2317</v>
      </c>
      <c r="E9" s="2">
        <v>20</v>
      </c>
      <c r="F9" s="2">
        <v>2000</v>
      </c>
      <c r="G9" s="2">
        <v>1</v>
      </c>
      <c r="H9" s="2">
        <v>0.4</v>
      </c>
      <c r="I9" s="2">
        <v>5.0000000000000001E-3</v>
      </c>
      <c r="J9" s="2">
        <v>0.02</v>
      </c>
      <c r="K9" s="2">
        <v>1E-3</v>
      </c>
      <c r="L9" s="2">
        <v>7.0000000000000001E-3</v>
      </c>
      <c r="M9" s="2">
        <v>1E-3</v>
      </c>
      <c r="N9" s="2">
        <v>0.05</v>
      </c>
      <c r="O9" s="2">
        <v>4.7000000000000002E-3</v>
      </c>
      <c r="P9" s="2">
        <v>0.115</v>
      </c>
      <c r="Q9" s="2">
        <v>1.09E-2</v>
      </c>
      <c r="R9" s="2">
        <v>6.0000000000000001E-3</v>
      </c>
      <c r="S9" s="2">
        <v>1.7000000000000001E-2</v>
      </c>
      <c r="T9" s="2">
        <v>7.9000000000000001E-2</v>
      </c>
      <c r="U9" s="2">
        <v>2.2899999999999999E-3</v>
      </c>
      <c r="V9" s="2">
        <v>1.1999999999999999E-3</v>
      </c>
      <c r="W9" s="2">
        <v>8.0000000000000004E-4</v>
      </c>
      <c r="X9" s="2">
        <v>1.6E-2</v>
      </c>
      <c r="Y9" s="2">
        <v>1.4999999999999999E-2</v>
      </c>
      <c r="Z9" s="2">
        <v>2.5000000000000001E-2</v>
      </c>
      <c r="AA9" s="2">
        <v>0</v>
      </c>
      <c r="AB9" s="2">
        <v>12.01</v>
      </c>
      <c r="AC9" s="2">
        <v>3.25</v>
      </c>
      <c r="AD9" s="4">
        <v>9.9683711171135752</v>
      </c>
      <c r="AE9" s="5">
        <v>174.09975286452487</v>
      </c>
      <c r="AF9" s="5">
        <v>533.36490750861674</v>
      </c>
      <c r="AG9" s="2">
        <v>0</v>
      </c>
      <c r="AH9" s="2">
        <v>0</v>
      </c>
      <c r="AI9" s="2">
        <v>800</v>
      </c>
      <c r="AJ9" s="2">
        <v>18.989999999999998</v>
      </c>
      <c r="AK9" s="2">
        <v>18.600000000000001</v>
      </c>
      <c r="AL9" s="2">
        <v>62</v>
      </c>
      <c r="AM9" s="6">
        <f t="shared" si="0"/>
        <v>121.79529938444324</v>
      </c>
      <c r="AN9" s="7">
        <v>90.486849468382786</v>
      </c>
      <c r="AO9" s="2">
        <v>0</v>
      </c>
      <c r="AP9" s="6">
        <v>432.7</v>
      </c>
      <c r="AQ9" s="7">
        <v>581.98097369893685</v>
      </c>
      <c r="AR9" s="2">
        <v>52.83</v>
      </c>
      <c r="AS9" s="2">
        <v>0</v>
      </c>
      <c r="AT9" s="7">
        <v>721.88024622271973</v>
      </c>
      <c r="AU9" s="2">
        <v>0</v>
      </c>
      <c r="AV9" s="2">
        <v>0</v>
      </c>
      <c r="AW9" s="2">
        <v>0</v>
      </c>
      <c r="AX9" s="2">
        <v>0</v>
      </c>
      <c r="AY9" s="2">
        <v>390</v>
      </c>
      <c r="AZ9" s="2">
        <v>9.99</v>
      </c>
      <c r="BA9" s="2">
        <v>74758.66</v>
      </c>
      <c r="BB9" s="2">
        <v>530</v>
      </c>
      <c r="BC9" s="2">
        <v>9380</v>
      </c>
      <c r="BD9" s="2">
        <v>3</v>
      </c>
      <c r="BE9" s="2">
        <v>0.4</v>
      </c>
      <c r="BF9" s="2">
        <v>36463</v>
      </c>
      <c r="BG9" s="2">
        <v>2820</v>
      </c>
      <c r="BH9" s="2">
        <v>0</v>
      </c>
      <c r="BI9" s="2">
        <v>1</v>
      </c>
      <c r="BJ9" s="2">
        <v>1</v>
      </c>
      <c r="BK9" s="2">
        <v>1</v>
      </c>
      <c r="BL9" s="2">
        <v>1</v>
      </c>
      <c r="BM9" s="2">
        <v>1</v>
      </c>
      <c r="BN9" s="2">
        <v>1</v>
      </c>
      <c r="BO9" s="2">
        <v>1</v>
      </c>
      <c r="BP9" s="2">
        <v>1</v>
      </c>
      <c r="BQ9" s="2">
        <v>1</v>
      </c>
      <c r="BR9" s="2">
        <v>1</v>
      </c>
      <c r="BS9" s="2">
        <v>1</v>
      </c>
      <c r="BT9" s="2">
        <v>1</v>
      </c>
      <c r="BU9" s="2">
        <v>1</v>
      </c>
      <c r="BV9" s="2">
        <v>1</v>
      </c>
      <c r="BW9" s="2">
        <v>1</v>
      </c>
      <c r="BX9" s="2">
        <v>1</v>
      </c>
      <c r="BY9" s="2">
        <v>1</v>
      </c>
      <c r="BZ9" s="2">
        <v>1</v>
      </c>
      <c r="CA9" s="2">
        <v>1</v>
      </c>
      <c r="CB9" s="2">
        <v>1</v>
      </c>
      <c r="CC9" s="2">
        <v>1</v>
      </c>
      <c r="CD9" s="2">
        <v>1</v>
      </c>
      <c r="CE9" s="2">
        <v>1</v>
      </c>
      <c r="CF9" s="2">
        <v>1</v>
      </c>
      <c r="CG9" s="2">
        <v>1</v>
      </c>
      <c r="CH9" s="2">
        <v>1</v>
      </c>
      <c r="CI9" s="2">
        <v>1</v>
      </c>
      <c r="CJ9" s="2">
        <v>1</v>
      </c>
      <c r="CK9" s="2">
        <v>1</v>
      </c>
      <c r="CL9" s="2">
        <v>1</v>
      </c>
      <c r="CM9" s="2">
        <v>0</v>
      </c>
      <c r="CN9" s="2">
        <v>54.6</v>
      </c>
      <c r="CO9" s="2">
        <v>112</v>
      </c>
      <c r="CP9" s="2">
        <v>94.6</v>
      </c>
      <c r="CQ9" s="2">
        <v>97.016666666666595</v>
      </c>
      <c r="CR9" s="2">
        <v>103.833333333333</v>
      </c>
      <c r="CS9" s="2">
        <v>73.3</v>
      </c>
      <c r="CT9" s="2">
        <v>74.099999999999994</v>
      </c>
      <c r="CU9" s="2">
        <v>0</v>
      </c>
      <c r="CV9" s="2">
        <v>221</v>
      </c>
      <c r="CW9" s="2">
        <v>69.766666666666595</v>
      </c>
      <c r="CX9" s="2">
        <v>0</v>
      </c>
      <c r="CY9" s="2">
        <v>63.1</v>
      </c>
      <c r="CZ9" s="2">
        <v>0</v>
      </c>
      <c r="DA9" s="2">
        <v>0</v>
      </c>
      <c r="DB9" s="2">
        <v>71.7</v>
      </c>
      <c r="DC9" s="2">
        <v>60.15</v>
      </c>
      <c r="DD9" s="2">
        <v>60.15</v>
      </c>
      <c r="DE9" s="2">
        <v>0</v>
      </c>
      <c r="DF9" s="2">
        <v>0</v>
      </c>
      <c r="DG9" s="2">
        <v>75.349999999999994</v>
      </c>
      <c r="DH9" s="2">
        <v>95.066666666666606</v>
      </c>
      <c r="DI9" s="2">
        <v>0</v>
      </c>
      <c r="DJ9" s="2">
        <v>100.37</v>
      </c>
      <c r="DK9" s="2">
        <v>0</v>
      </c>
      <c r="DL9" s="2">
        <v>3.0000000000000001E-3</v>
      </c>
      <c r="DM9" s="2">
        <v>1E-3</v>
      </c>
      <c r="DN9" s="2">
        <v>1.6E-2</v>
      </c>
      <c r="DO9" s="2">
        <v>1E-3</v>
      </c>
      <c r="DP9" s="2">
        <v>1E-3</v>
      </c>
      <c r="DQ9" s="2">
        <v>1.6666666666666601E-3</v>
      </c>
      <c r="DR9" s="2">
        <v>3.0000000000000001E-3</v>
      </c>
      <c r="DS9" s="2">
        <v>3.0000000000000001E-3</v>
      </c>
      <c r="DT9" s="2">
        <v>0</v>
      </c>
      <c r="DU9" s="2">
        <v>1E-3</v>
      </c>
      <c r="DV9" s="2">
        <v>3.0000000000000001E-3</v>
      </c>
      <c r="DW9" s="2">
        <v>0</v>
      </c>
      <c r="DX9" s="2">
        <v>1E-3</v>
      </c>
      <c r="DY9" s="2">
        <v>0</v>
      </c>
      <c r="DZ9" s="2">
        <v>0</v>
      </c>
      <c r="EA9" s="2">
        <v>3.0000000000000001E-3</v>
      </c>
      <c r="EB9" s="2">
        <v>2E-3</v>
      </c>
      <c r="EC9" s="2">
        <v>2E-3</v>
      </c>
      <c r="ED9" s="2">
        <v>0</v>
      </c>
      <c r="EE9" s="2">
        <v>0</v>
      </c>
      <c r="EF9" s="2">
        <v>1.6500000000000001E-2</v>
      </c>
      <c r="EG9" s="2">
        <v>1E-3</v>
      </c>
      <c r="EH9" s="2">
        <v>0</v>
      </c>
      <c r="EI9" s="2">
        <v>2.79</v>
      </c>
      <c r="EJ9" s="2">
        <v>0</v>
      </c>
      <c r="EK9" s="2">
        <v>5.9999999999999995E-4</v>
      </c>
      <c r="EL9" s="2">
        <v>1E-4</v>
      </c>
      <c r="EM9" s="2">
        <v>2.875E-3</v>
      </c>
      <c r="EN9" s="2">
        <v>1.5E-3</v>
      </c>
      <c r="EO9" s="2">
        <v>1.5E-3</v>
      </c>
      <c r="EP9" s="2">
        <v>7.3333333333333302E-4</v>
      </c>
      <c r="EQ9" s="2">
        <v>5.9999999999999995E-4</v>
      </c>
      <c r="ER9" s="2">
        <v>5.9999999999999995E-4</v>
      </c>
      <c r="ES9" s="2">
        <v>0</v>
      </c>
      <c r="ET9" s="2">
        <v>1E-4</v>
      </c>
      <c r="EU9" s="2">
        <v>5.9999999999999995E-4</v>
      </c>
      <c r="EV9" s="2">
        <v>0</v>
      </c>
      <c r="EW9" s="2">
        <v>1E-4</v>
      </c>
      <c r="EX9" s="2">
        <v>0</v>
      </c>
      <c r="EY9" s="2">
        <v>0</v>
      </c>
      <c r="EZ9" s="2">
        <v>5.9999999999999995E-4</v>
      </c>
      <c r="FA9" s="2">
        <v>3.5E-4</v>
      </c>
      <c r="FB9" s="2">
        <v>3.5E-4</v>
      </c>
      <c r="FC9" s="2">
        <v>0</v>
      </c>
      <c r="FD9" s="2">
        <v>0</v>
      </c>
      <c r="FE9" s="2">
        <v>2.3E-3</v>
      </c>
      <c r="FF9" s="2">
        <v>1.5E-3</v>
      </c>
      <c r="FG9" s="2">
        <v>0</v>
      </c>
      <c r="FH9" s="2">
        <v>9.5899999999999996E-3</v>
      </c>
      <c r="FI9" s="2">
        <v>0</v>
      </c>
      <c r="FJ9" s="8">
        <v>1.6583123951776999E-6</v>
      </c>
      <c r="FK9" s="8">
        <v>8.4498520697110406E-8</v>
      </c>
      <c r="FL9" s="8">
        <v>2.4E-8</v>
      </c>
      <c r="FM9" s="2">
        <v>1.4105270168067501E-4</v>
      </c>
      <c r="FN9" s="8">
        <v>3.23821170194798E-9</v>
      </c>
      <c r="FO9" s="8">
        <v>2.46779253585061E-5</v>
      </c>
      <c r="FP9" s="2">
        <v>5.1415182085719699E-2</v>
      </c>
      <c r="FQ9" s="8">
        <v>4.89277622940513E-6</v>
      </c>
      <c r="FR9" s="2">
        <v>3.99749921826133E-2</v>
      </c>
      <c r="FS9" s="8">
        <v>6.3213623094501506E-11</v>
      </c>
      <c r="FT9" s="8">
        <v>6.3213922517116401E-7</v>
      </c>
      <c r="FU9" s="8">
        <v>2.6021139604446299E-9</v>
      </c>
      <c r="FV9" s="2">
        <v>6.2529992803453897E-3</v>
      </c>
      <c r="FW9" s="2">
        <v>0</v>
      </c>
      <c r="FX9" s="8">
        <v>3.2490625588560901E-6</v>
      </c>
      <c r="FY9" s="2">
        <v>9.2441948549119596E-3</v>
      </c>
      <c r="FZ9" s="2">
        <v>0</v>
      </c>
      <c r="GA9" s="8">
        <v>6.1712669934061603E-5</v>
      </c>
      <c r="GB9" s="2">
        <v>1.02490704319759E-2</v>
      </c>
      <c r="GC9" s="8">
        <v>6.8E-8</v>
      </c>
      <c r="GD9" s="8">
        <v>5.4211433772233295E-7</v>
      </c>
      <c r="GE9" s="2">
        <v>1.40263261984831E-2</v>
      </c>
      <c r="GF9" s="2">
        <v>1.52432705551728E-2</v>
      </c>
      <c r="GG9" s="2">
        <v>1.02176318195558E-2</v>
      </c>
      <c r="GH9" s="2">
        <v>5.1633091233467803E-3</v>
      </c>
      <c r="GI9" s="2">
        <v>2.1213203435596398E-3</v>
      </c>
      <c r="GJ9" s="2">
        <v>0</v>
      </c>
      <c r="GK9" s="2">
        <v>1.87616630392937E-3</v>
      </c>
      <c r="GL9" s="8">
        <v>6.4583997501198804E-7</v>
      </c>
      <c r="GM9" s="8">
        <v>1.52E-5</v>
      </c>
      <c r="GN9" s="8">
        <v>6.2528652183015504E-9</v>
      </c>
      <c r="GO9" s="8">
        <v>1.395E-6</v>
      </c>
      <c r="GP9" s="2">
        <v>0</v>
      </c>
      <c r="GQ9" s="8">
        <v>1.82429989565185E-8</v>
      </c>
      <c r="GR9" s="2">
        <v>1.5200000000000001E-4</v>
      </c>
      <c r="GS9" s="2">
        <v>1</v>
      </c>
      <c r="GT9" s="2">
        <v>0</v>
      </c>
      <c r="GU9" s="8">
        <v>8.0000000000000007E-5</v>
      </c>
      <c r="GV9" s="8">
        <v>8.0000000000000007E-5</v>
      </c>
      <c r="GW9" s="2">
        <v>1</v>
      </c>
      <c r="GX9" s="2">
        <v>0</v>
      </c>
      <c r="GY9" s="2">
        <v>1</v>
      </c>
      <c r="GZ9" s="2">
        <v>1</v>
      </c>
      <c r="HA9" s="2">
        <v>0</v>
      </c>
      <c r="HB9" s="2">
        <v>0</v>
      </c>
      <c r="HC9" s="8">
        <v>2.0000000000000002E-5</v>
      </c>
      <c r="HD9" s="2">
        <v>1</v>
      </c>
      <c r="HE9" s="2">
        <v>1</v>
      </c>
      <c r="HF9" s="2">
        <v>1</v>
      </c>
      <c r="HG9" s="2">
        <v>1</v>
      </c>
      <c r="HH9" s="2">
        <v>1</v>
      </c>
      <c r="HI9" s="2">
        <v>1</v>
      </c>
      <c r="HJ9" s="2">
        <v>0</v>
      </c>
      <c r="HK9" s="2">
        <v>1</v>
      </c>
      <c r="HL9" s="2">
        <v>0</v>
      </c>
      <c r="HM9" s="8">
        <v>1.9999999999999999E-6</v>
      </c>
      <c r="HN9" s="8">
        <v>4.0000000000000001E-8</v>
      </c>
      <c r="HO9" s="2">
        <v>1</v>
      </c>
      <c r="HP9" s="2">
        <v>0</v>
      </c>
      <c r="HQ9" s="2">
        <v>0</v>
      </c>
      <c r="HR9" s="8">
        <v>5.9999999999999997E-7</v>
      </c>
      <c r="HS9" s="2">
        <v>1</v>
      </c>
      <c r="HT9" s="2">
        <v>1</v>
      </c>
      <c r="HU9" s="2">
        <v>0</v>
      </c>
      <c r="HV9" s="2">
        <v>0</v>
      </c>
      <c r="HW9" s="8">
        <v>7.9999999999999996E-6</v>
      </c>
      <c r="HX9" s="2">
        <v>1</v>
      </c>
      <c r="HY9" s="2">
        <v>0</v>
      </c>
      <c r="HZ9" s="2">
        <v>2.0000000000000001E-4</v>
      </c>
      <c r="IA9" s="2">
        <v>0</v>
      </c>
      <c r="IB9" s="2">
        <v>1</v>
      </c>
      <c r="IC9" s="2">
        <v>0</v>
      </c>
      <c r="ID9" s="8">
        <v>1.9999999999999999E-6</v>
      </c>
      <c r="IE9" s="2">
        <v>0</v>
      </c>
      <c r="IF9" s="2">
        <v>0</v>
      </c>
      <c r="IG9" s="2">
        <v>0</v>
      </c>
      <c r="IH9" s="2">
        <v>1</v>
      </c>
      <c r="II9" s="2">
        <v>1</v>
      </c>
      <c r="IJ9" s="2">
        <v>0</v>
      </c>
      <c r="IK9" s="2">
        <v>0</v>
      </c>
      <c r="IL9" s="2">
        <v>1.16E-3</v>
      </c>
      <c r="IM9" s="2">
        <v>1.7357142857142799E-4</v>
      </c>
      <c r="IN9" s="2">
        <v>3.9654299999999998E-3</v>
      </c>
      <c r="IO9" s="2">
        <v>1</v>
      </c>
      <c r="IP9" s="2">
        <v>1</v>
      </c>
      <c r="IQ9" s="2">
        <v>0</v>
      </c>
      <c r="IR9" s="2">
        <v>0</v>
      </c>
      <c r="IS9" s="2">
        <v>1</v>
      </c>
      <c r="IT9" s="2">
        <v>1</v>
      </c>
      <c r="IU9" s="2">
        <v>3.0000000000000001E-3</v>
      </c>
      <c r="IV9" s="8">
        <v>3.0000000000000001E-5</v>
      </c>
      <c r="IW9" s="2">
        <v>3.15</v>
      </c>
      <c r="IX9" s="2">
        <v>3.08</v>
      </c>
      <c r="IY9" s="2">
        <v>0.52</v>
      </c>
      <c r="IZ9" s="2">
        <v>0.848907407407407</v>
      </c>
      <c r="JA9" s="2">
        <v>0.2</v>
      </c>
      <c r="JB9" s="2">
        <v>0.75</v>
      </c>
      <c r="JC9" s="2">
        <v>1.8667380952380901</v>
      </c>
      <c r="JD9" s="2">
        <v>1.43807229</v>
      </c>
      <c r="JE9" s="2">
        <v>1</v>
      </c>
      <c r="JF9" s="2">
        <v>3.7409999999999999E-2</v>
      </c>
      <c r="JG9" s="2">
        <v>6.9999999999999999E-4</v>
      </c>
      <c r="JH9" s="2">
        <v>0</v>
      </c>
      <c r="JI9" s="2">
        <v>1E-4</v>
      </c>
      <c r="JJ9" s="2">
        <v>1</v>
      </c>
      <c r="JK9" s="8">
        <v>6.0000000000000002E-6</v>
      </c>
      <c r="JL9" s="8">
        <v>6.0000000000000002E-6</v>
      </c>
      <c r="JM9" s="8">
        <v>6.0000000000000002E-6</v>
      </c>
      <c r="JN9" s="2">
        <v>0.5</v>
      </c>
      <c r="JO9" s="2">
        <v>2</v>
      </c>
      <c r="JP9" s="2">
        <v>13.315</v>
      </c>
      <c r="JQ9" s="2">
        <v>3.71</v>
      </c>
      <c r="JR9" s="2">
        <v>77</v>
      </c>
      <c r="JS9" s="2">
        <v>3.9</v>
      </c>
      <c r="JT9" s="2">
        <v>20.6</v>
      </c>
      <c r="JU9" s="2">
        <v>62</v>
      </c>
      <c r="JV9" s="2">
        <v>350</v>
      </c>
      <c r="JW9" s="2">
        <v>41</v>
      </c>
      <c r="JX9" s="2">
        <v>3.9</v>
      </c>
      <c r="JY9" s="2">
        <v>5.6</v>
      </c>
      <c r="JZ9" s="2">
        <v>0.2</v>
      </c>
      <c r="KA9" s="2">
        <v>3</v>
      </c>
      <c r="KB9" s="2">
        <v>4.1500000000000004</v>
      </c>
      <c r="KC9" s="2">
        <v>350</v>
      </c>
      <c r="KD9" s="2">
        <v>28.6</v>
      </c>
      <c r="KE9" s="2">
        <v>3</v>
      </c>
      <c r="KF9" s="2">
        <v>4.1500000000000004</v>
      </c>
      <c r="KG9" s="2">
        <v>350</v>
      </c>
      <c r="KH9" s="2">
        <v>28.6</v>
      </c>
      <c r="KI9" s="2">
        <v>3</v>
      </c>
      <c r="KJ9" s="2">
        <v>77</v>
      </c>
      <c r="KK9" s="2">
        <v>3.9</v>
      </c>
      <c r="KL9" s="2">
        <v>20.6</v>
      </c>
      <c r="KM9" s="2">
        <v>62</v>
      </c>
      <c r="KN9" s="2">
        <v>350</v>
      </c>
      <c r="KO9" s="2">
        <v>41</v>
      </c>
      <c r="KP9" s="2">
        <v>3.9</v>
      </c>
      <c r="KQ9" s="2">
        <v>5.6</v>
      </c>
      <c r="KR9" s="2">
        <v>0.2</v>
      </c>
      <c r="KS9" s="2">
        <v>3</v>
      </c>
      <c r="KT9" s="2">
        <v>77</v>
      </c>
      <c r="KU9" s="2">
        <v>3.9</v>
      </c>
      <c r="KV9" s="2">
        <v>20.6</v>
      </c>
      <c r="KW9" s="2">
        <v>62</v>
      </c>
      <c r="KX9" s="2">
        <v>350</v>
      </c>
      <c r="KY9" s="2">
        <v>41</v>
      </c>
      <c r="KZ9" s="2">
        <v>3.9</v>
      </c>
      <c r="LA9" s="2">
        <v>5.6</v>
      </c>
      <c r="LB9" s="2">
        <v>0.2</v>
      </c>
      <c r="LC9" s="2">
        <v>3</v>
      </c>
      <c r="LD9" s="2">
        <v>18</v>
      </c>
      <c r="LE9" s="2">
        <v>3.9</v>
      </c>
      <c r="LF9" s="2">
        <v>20.6</v>
      </c>
      <c r="LG9" s="2">
        <v>62</v>
      </c>
      <c r="LH9" s="2">
        <v>41</v>
      </c>
      <c r="LI9" s="2">
        <v>3.9</v>
      </c>
      <c r="LJ9" s="2">
        <v>5.6</v>
      </c>
      <c r="LK9" s="2">
        <v>0.2</v>
      </c>
      <c r="LL9" s="2">
        <v>7</v>
      </c>
      <c r="LM9" s="2">
        <v>350</v>
      </c>
      <c r="LN9" s="2">
        <v>2</v>
      </c>
      <c r="LO9" s="2">
        <v>3</v>
      </c>
      <c r="LP9" s="2">
        <v>0.95</v>
      </c>
      <c r="LQ9" s="2">
        <v>0.8</v>
      </c>
      <c r="LR9" s="2">
        <v>0.8</v>
      </c>
      <c r="LS9" s="2">
        <v>0.6</v>
      </c>
      <c r="LT9" s="2">
        <v>0.78</v>
      </c>
      <c r="LU9" s="2">
        <v>0.6</v>
      </c>
      <c r="LV9" s="2">
        <v>0.82</v>
      </c>
      <c r="LW9" s="2">
        <v>3.2</v>
      </c>
      <c r="LX9" s="2">
        <v>0.8</v>
      </c>
      <c r="LY9" s="2">
        <v>0.85</v>
      </c>
      <c r="LZ9" s="2">
        <v>0.75</v>
      </c>
      <c r="MA9" s="2">
        <v>0.8</v>
      </c>
      <c r="MB9" s="2">
        <v>0.8</v>
      </c>
      <c r="MC9" s="2">
        <v>0.8</v>
      </c>
      <c r="MD9" s="2">
        <v>0.82</v>
      </c>
      <c r="ME9" s="2">
        <v>0.2</v>
      </c>
      <c r="MF9" s="2">
        <v>0.33500000000000002</v>
      </c>
      <c r="MG9" s="2">
        <v>0.14000000000000001</v>
      </c>
      <c r="MH9" s="2">
        <v>0.45</v>
      </c>
      <c r="MI9" s="2">
        <v>0.45</v>
      </c>
      <c r="MJ9" s="2">
        <v>0.4</v>
      </c>
      <c r="MK9" s="2">
        <v>0.4</v>
      </c>
      <c r="ML9" s="2">
        <v>1</v>
      </c>
      <c r="MM9" s="2">
        <v>0.85499999999999998</v>
      </c>
      <c r="MN9" s="2">
        <v>2.7000000000000001E-3</v>
      </c>
      <c r="MO9" s="2">
        <v>1</v>
      </c>
      <c r="MP9" s="2">
        <v>0.22</v>
      </c>
      <c r="MQ9" s="2">
        <v>0.23</v>
      </c>
      <c r="MR9" s="2">
        <v>0.22</v>
      </c>
      <c r="MS9" s="2">
        <v>0.4</v>
      </c>
      <c r="MT9" s="2">
        <v>0.8</v>
      </c>
      <c r="MU9" s="2">
        <v>0.75</v>
      </c>
      <c r="MV9" s="2">
        <v>0.85</v>
      </c>
      <c r="MW9" s="2">
        <v>0.75</v>
      </c>
      <c r="MX9" s="2">
        <v>0.6</v>
      </c>
      <c r="MY9" s="2">
        <v>0.82</v>
      </c>
      <c r="MZ9" s="2">
        <v>0.98</v>
      </c>
      <c r="NA9" s="2">
        <v>0.75</v>
      </c>
      <c r="NB9" s="2">
        <v>0.75</v>
      </c>
      <c r="NC9" s="2">
        <v>0.8</v>
      </c>
      <c r="ND9" s="2">
        <v>0.82</v>
      </c>
      <c r="NE9" s="2">
        <v>0.8</v>
      </c>
      <c r="NF9" s="2">
        <v>0.7</v>
      </c>
      <c r="NG9" s="2">
        <v>0.6</v>
      </c>
      <c r="NH9" s="2">
        <v>0.75</v>
      </c>
      <c r="NI9" s="2">
        <v>2.4</v>
      </c>
      <c r="NJ9" s="2">
        <v>0.75</v>
      </c>
      <c r="NK9" s="2">
        <v>0.75</v>
      </c>
      <c r="NL9" s="2">
        <v>0.8</v>
      </c>
      <c r="NM9" s="2">
        <v>0.75</v>
      </c>
      <c r="NN9" s="2">
        <v>0.8</v>
      </c>
      <c r="NO9" s="2">
        <v>0.64</v>
      </c>
      <c r="NP9" s="2">
        <v>0.6</v>
      </c>
      <c r="NQ9" s="2">
        <v>0.75</v>
      </c>
      <c r="NR9" s="2">
        <v>3.2</v>
      </c>
      <c r="NS9" s="2">
        <v>0.75</v>
      </c>
      <c r="NT9" s="2">
        <v>0.75</v>
      </c>
      <c r="NU9" s="2">
        <v>0.8</v>
      </c>
      <c r="NV9" s="2">
        <v>0.6</v>
      </c>
      <c r="NW9" s="2">
        <v>0.8</v>
      </c>
      <c r="NX9" s="2">
        <v>0.1</v>
      </c>
      <c r="OY9" s="2">
        <v>0.13300000000000001</v>
      </c>
      <c r="OZ9" s="2">
        <v>50</v>
      </c>
      <c r="PA9" s="2">
        <v>1.3376999999999999</v>
      </c>
      <c r="PB9" s="2">
        <v>1.3368169646517301E-2</v>
      </c>
      <c r="PC9" s="2">
        <v>6.1813186813186802E-2</v>
      </c>
      <c r="PD9" s="2">
        <v>0.95550000000000002</v>
      </c>
      <c r="PE9" s="2">
        <v>0</v>
      </c>
      <c r="PF9" s="2">
        <v>5</v>
      </c>
      <c r="PG9" s="2">
        <v>2.4500000000000001E-2</v>
      </c>
      <c r="PI9" s="2">
        <v>8</v>
      </c>
      <c r="PJ9" s="2">
        <v>28.95</v>
      </c>
      <c r="PK9" s="2">
        <v>2.8000000000000001E-2</v>
      </c>
      <c r="PL9" s="2">
        <v>3.9</v>
      </c>
      <c r="PM9" s="2">
        <v>22.5</v>
      </c>
      <c r="PN9" s="2">
        <v>22.96</v>
      </c>
      <c r="PO9" s="2">
        <v>38</v>
      </c>
      <c r="PP9" s="2">
        <v>36.4</v>
      </c>
      <c r="PQ9" s="2">
        <v>3.5000000000000001E-3</v>
      </c>
      <c r="PR9" s="2">
        <v>35</v>
      </c>
      <c r="PS9" s="2">
        <v>3.8300000000000001E-2</v>
      </c>
      <c r="PT9" s="2">
        <v>8</v>
      </c>
      <c r="PU9" s="2">
        <v>32</v>
      </c>
      <c r="PV9" s="2">
        <v>3.8300000000000001E-2</v>
      </c>
      <c r="PW9" s="2">
        <v>38</v>
      </c>
      <c r="PX9" s="2">
        <v>30.58</v>
      </c>
      <c r="PY9" s="2">
        <v>13</v>
      </c>
      <c r="PZ9" s="2">
        <v>23.64</v>
      </c>
      <c r="QA9" s="2">
        <v>26.28</v>
      </c>
      <c r="QB9" s="5">
        <v>48</v>
      </c>
      <c r="QC9" s="2">
        <v>130.739</v>
      </c>
      <c r="QD9" s="2">
        <v>79810000</v>
      </c>
      <c r="QE9" s="2">
        <v>8</v>
      </c>
      <c r="QF9" s="2">
        <v>3</v>
      </c>
      <c r="QG9" s="2">
        <v>2</v>
      </c>
      <c r="QH9" s="2">
        <v>2</v>
      </c>
      <c r="QI9" s="2">
        <v>1</v>
      </c>
      <c r="QJ9" s="2">
        <v>0.5</v>
      </c>
      <c r="QK9" s="2">
        <v>0.25</v>
      </c>
      <c r="QL9" s="2">
        <v>0.5</v>
      </c>
      <c r="QM9" s="2">
        <v>1</v>
      </c>
      <c r="QN9" s="2">
        <v>0.5</v>
      </c>
      <c r="QO9" s="2">
        <v>0.2</v>
      </c>
      <c r="QP9" s="2">
        <v>0.2</v>
      </c>
      <c r="QQ9" s="2">
        <v>0.8</v>
      </c>
      <c r="QR9" s="2">
        <v>1.18527760449157E-2</v>
      </c>
      <c r="QS9" s="2">
        <v>9.9812850904553892E-3</v>
      </c>
      <c r="QT9" s="2">
        <v>0.97816593886462799</v>
      </c>
      <c r="QU9" s="2">
        <v>0.19</v>
      </c>
      <c r="QV9" s="2">
        <v>0.13700000000000001</v>
      </c>
      <c r="QW9" s="2">
        <v>0.30299999999999999</v>
      </c>
      <c r="QX9" s="2">
        <v>0</v>
      </c>
      <c r="QY9" s="2">
        <v>0.216</v>
      </c>
      <c r="QZ9" s="2">
        <v>0.1</v>
      </c>
      <c r="RA9" s="2">
        <v>2.5000000000000001E-2</v>
      </c>
      <c r="RB9" s="2">
        <v>0.05</v>
      </c>
      <c r="RC9" s="2">
        <v>0.2</v>
      </c>
      <c r="RD9" s="2">
        <v>0.04</v>
      </c>
      <c r="RE9" s="2">
        <v>0</v>
      </c>
      <c r="RF9" s="2">
        <v>0</v>
      </c>
      <c r="RG9" s="2">
        <v>7.4999999999999997E-2</v>
      </c>
      <c r="RH9" s="2">
        <v>-999</v>
      </c>
      <c r="RI9" s="2">
        <v>-999</v>
      </c>
      <c r="RJ9" s="2">
        <v>-999</v>
      </c>
      <c r="RK9" s="2">
        <v>-999</v>
      </c>
      <c r="RL9" s="2">
        <v>-999</v>
      </c>
      <c r="RM9" s="2">
        <v>-999</v>
      </c>
      <c r="RN9" s="2">
        <v>-999</v>
      </c>
      <c r="RO9" s="2">
        <v>-999</v>
      </c>
      <c r="RP9" s="2">
        <v>-999</v>
      </c>
      <c r="RQ9" s="2">
        <v>-999</v>
      </c>
      <c r="RR9" s="2">
        <v>-999</v>
      </c>
      <c r="RS9" s="2">
        <v>-999</v>
      </c>
      <c r="RT9" s="2">
        <v>-999</v>
      </c>
      <c r="RU9" s="2">
        <v>-999</v>
      </c>
      <c r="RV9" s="2">
        <v>8.6999999999999994E-2</v>
      </c>
      <c r="RW9" s="2">
        <v>8.6999999999999994E-2</v>
      </c>
      <c r="RX9" s="2">
        <v>0</v>
      </c>
      <c r="RZ9" s="2">
        <v>0</v>
      </c>
      <c r="SA9" s="2">
        <v>0</v>
      </c>
      <c r="SB9" s="2">
        <v>0.31</v>
      </c>
      <c r="SC9" s="2">
        <v>0.03</v>
      </c>
      <c r="SD9" s="2">
        <v>0</v>
      </c>
      <c r="SE9" s="2">
        <v>0.31</v>
      </c>
      <c r="SF9" s="2">
        <v>0</v>
      </c>
      <c r="SG9" s="2">
        <v>0</v>
      </c>
      <c r="SH9" s="2">
        <v>0.32</v>
      </c>
      <c r="SI9" s="2">
        <v>0</v>
      </c>
      <c r="SJ9" s="2">
        <v>0</v>
      </c>
      <c r="SK9" s="2">
        <v>0.03</v>
      </c>
      <c r="SL9" s="2">
        <v>0</v>
      </c>
      <c r="SM9" s="2">
        <v>0.67</v>
      </c>
      <c r="SN9" s="2">
        <v>0</v>
      </c>
      <c r="SO9" s="2">
        <v>0.01</v>
      </c>
      <c r="SP9" s="2">
        <v>0.3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0.02</v>
      </c>
      <c r="SY9" s="2">
        <v>0</v>
      </c>
      <c r="SZ9" s="2">
        <v>0</v>
      </c>
      <c r="TA9" s="2">
        <v>0</v>
      </c>
      <c r="TB9" s="2">
        <v>0.01</v>
      </c>
      <c r="TC9" s="2">
        <v>0.38</v>
      </c>
      <c r="TD9" s="2">
        <v>0</v>
      </c>
      <c r="TE9" s="2">
        <v>0</v>
      </c>
      <c r="TF9" s="2">
        <v>0</v>
      </c>
      <c r="TG9" s="2">
        <v>0</v>
      </c>
      <c r="TH9" s="2">
        <v>0</v>
      </c>
      <c r="TI9" s="2">
        <v>0</v>
      </c>
      <c r="TJ9" s="2">
        <v>0.6</v>
      </c>
      <c r="TK9" s="2">
        <v>0.01</v>
      </c>
      <c r="TL9" s="2">
        <v>0</v>
      </c>
      <c r="TM9" s="2">
        <v>0</v>
      </c>
      <c r="TN9" s="2">
        <v>0</v>
      </c>
      <c r="TO9" s="2">
        <v>0.11</v>
      </c>
      <c r="TP9" s="2">
        <v>0.88</v>
      </c>
      <c r="TQ9" s="2">
        <v>0</v>
      </c>
      <c r="TR9" s="2">
        <v>0</v>
      </c>
      <c r="TS9" s="2">
        <v>0</v>
      </c>
      <c r="TT9" s="2">
        <v>0</v>
      </c>
      <c r="TU9" s="2">
        <v>0</v>
      </c>
      <c r="TV9" s="2">
        <v>0</v>
      </c>
      <c r="TW9" s="2">
        <v>0</v>
      </c>
      <c r="TX9" s="2">
        <v>0.01</v>
      </c>
      <c r="TY9" s="2">
        <v>0</v>
      </c>
      <c r="TZ9" s="2">
        <v>0</v>
      </c>
      <c r="UA9" s="2">
        <v>0</v>
      </c>
      <c r="UB9" s="2">
        <v>0.01</v>
      </c>
      <c r="UC9" s="2">
        <v>0.22900000000000001</v>
      </c>
      <c r="UD9" s="2">
        <v>0</v>
      </c>
      <c r="UE9" s="2">
        <v>0</v>
      </c>
      <c r="UF9" s="2">
        <v>0</v>
      </c>
      <c r="UG9" s="2">
        <v>0</v>
      </c>
      <c r="UH9" s="2">
        <v>0</v>
      </c>
      <c r="UI9" s="2">
        <v>0</v>
      </c>
      <c r="UJ9" s="2">
        <v>0.76</v>
      </c>
      <c r="UK9" s="2">
        <v>1E-3</v>
      </c>
      <c r="UL9" s="2">
        <v>0</v>
      </c>
      <c r="UM9" s="2">
        <v>0</v>
      </c>
      <c r="UN9" s="2">
        <v>0.4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>
        <v>0</v>
      </c>
      <c r="UU9" s="2">
        <v>0</v>
      </c>
      <c r="UV9" s="2">
        <v>0.2</v>
      </c>
      <c r="UW9" s="2">
        <v>0</v>
      </c>
      <c r="UX9" s="2">
        <v>0</v>
      </c>
      <c r="UY9" s="2">
        <v>1.2E-2</v>
      </c>
      <c r="UZ9" s="2">
        <v>0</v>
      </c>
      <c r="VA9" s="2">
        <v>0</v>
      </c>
      <c r="VB9" s="2">
        <v>0.11899999999999999</v>
      </c>
      <c r="VC9" s="2">
        <v>0.73</v>
      </c>
      <c r="VE9" s="2">
        <v>0</v>
      </c>
      <c r="VF9" s="2">
        <v>0</v>
      </c>
      <c r="VG9" s="2">
        <v>0</v>
      </c>
      <c r="VH9" s="2">
        <v>0</v>
      </c>
      <c r="VJ9" s="2">
        <v>0.15</v>
      </c>
      <c r="VK9" s="2">
        <v>1E-3</v>
      </c>
      <c r="VL9" s="2">
        <v>0</v>
      </c>
      <c r="VM9" s="2">
        <v>0</v>
      </c>
      <c r="VN9" s="2">
        <v>0</v>
      </c>
      <c r="VO9" s="2">
        <v>0.21</v>
      </c>
      <c r="VP9" s="2">
        <v>0.78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0</v>
      </c>
      <c r="VX9" s="2">
        <v>0</v>
      </c>
      <c r="VY9" s="2">
        <v>0.01</v>
      </c>
      <c r="VZ9" s="2">
        <v>0</v>
      </c>
      <c r="WA9" s="2">
        <v>0</v>
      </c>
      <c r="WB9" s="2">
        <v>0</v>
      </c>
      <c r="WC9" s="2">
        <v>0.05</v>
      </c>
      <c r="WD9" s="2">
        <v>0.11</v>
      </c>
      <c r="WE9" s="2">
        <v>0</v>
      </c>
      <c r="WF9" s="2">
        <v>0</v>
      </c>
      <c r="WG9" s="2">
        <v>0</v>
      </c>
      <c r="WH9" s="2">
        <v>0</v>
      </c>
      <c r="WI9" s="2">
        <v>0</v>
      </c>
      <c r="WJ9" s="2">
        <v>0</v>
      </c>
      <c r="WK9" s="2">
        <v>0</v>
      </c>
      <c r="WL9" s="2">
        <v>1E-3</v>
      </c>
      <c r="WM9" s="2">
        <v>0.83899999999999997</v>
      </c>
      <c r="WN9" s="2">
        <v>0</v>
      </c>
      <c r="WO9" s="2">
        <v>0</v>
      </c>
      <c r="WP9" s="2">
        <v>0</v>
      </c>
      <c r="WQ9" s="2">
        <v>0.26</v>
      </c>
      <c r="WR9" s="2">
        <v>0</v>
      </c>
      <c r="WS9" s="2">
        <v>0</v>
      </c>
      <c r="WT9" s="2">
        <v>0</v>
      </c>
      <c r="WU9" s="2">
        <v>0</v>
      </c>
      <c r="WV9" s="2">
        <v>0</v>
      </c>
      <c r="WW9" s="2">
        <v>0</v>
      </c>
      <c r="WX9" s="2">
        <v>0</v>
      </c>
      <c r="WY9" s="2">
        <v>0.01</v>
      </c>
      <c r="WZ9" s="2">
        <v>0.73</v>
      </c>
      <c r="XA9" s="2">
        <v>0</v>
      </c>
      <c r="XB9" s="2">
        <v>0</v>
      </c>
      <c r="XC9" s="2">
        <v>0</v>
      </c>
      <c r="XD9" s="2">
        <v>0.44</v>
      </c>
      <c r="XE9" s="2">
        <v>0</v>
      </c>
      <c r="XF9" s="2">
        <v>0</v>
      </c>
      <c r="XG9" s="2">
        <v>0</v>
      </c>
      <c r="XH9" s="2">
        <v>0</v>
      </c>
      <c r="XI9" s="2">
        <v>0</v>
      </c>
      <c r="XJ9" s="2">
        <v>0</v>
      </c>
      <c r="XK9" s="2">
        <v>0.4</v>
      </c>
      <c r="XL9" s="2">
        <v>0.01</v>
      </c>
      <c r="XM9" s="2">
        <v>0.15</v>
      </c>
      <c r="XN9" s="2">
        <v>0</v>
      </c>
      <c r="XO9" s="2">
        <v>0</v>
      </c>
      <c r="XP9" s="2">
        <v>0</v>
      </c>
      <c r="XQ9" s="2">
        <v>0.2</v>
      </c>
      <c r="XR9" s="2">
        <v>0</v>
      </c>
      <c r="XS9" s="2">
        <v>0</v>
      </c>
      <c r="XT9" s="2">
        <v>0</v>
      </c>
      <c r="XU9" s="2">
        <v>0</v>
      </c>
      <c r="XV9" s="2">
        <v>0</v>
      </c>
      <c r="XW9" s="2">
        <v>0.1</v>
      </c>
      <c r="XX9" s="2">
        <v>0.63</v>
      </c>
      <c r="XY9" s="2">
        <v>7.0000000000000007E-2</v>
      </c>
      <c r="XZ9" s="2">
        <v>0</v>
      </c>
      <c r="YA9" s="2">
        <v>0</v>
      </c>
      <c r="YB9" s="2">
        <v>0</v>
      </c>
      <c r="YC9" s="2">
        <v>0.11899999999999999</v>
      </c>
      <c r="YD9" s="2">
        <v>0.73</v>
      </c>
      <c r="YF9" s="2">
        <v>0</v>
      </c>
      <c r="YG9" s="2">
        <v>0</v>
      </c>
      <c r="YH9" s="2">
        <v>0</v>
      </c>
      <c r="YI9" s="2">
        <v>0</v>
      </c>
      <c r="YK9" s="2">
        <v>0.15</v>
      </c>
      <c r="YL9" s="2">
        <v>1E-3</v>
      </c>
      <c r="YM9" s="2">
        <v>0</v>
      </c>
      <c r="YN9" s="2">
        <v>0</v>
      </c>
      <c r="YO9" s="2">
        <v>0</v>
      </c>
      <c r="YP9" s="2">
        <v>0</v>
      </c>
      <c r="YQ9" s="2">
        <v>0.26</v>
      </c>
      <c r="YR9" s="2">
        <v>0</v>
      </c>
      <c r="YS9" s="2">
        <v>0</v>
      </c>
      <c r="YT9" s="2">
        <v>0</v>
      </c>
      <c r="YU9" s="2">
        <v>0</v>
      </c>
      <c r="YV9" s="2">
        <v>0</v>
      </c>
      <c r="YW9" s="2">
        <v>0</v>
      </c>
      <c r="YX9" s="2">
        <v>0</v>
      </c>
      <c r="YY9" s="2">
        <v>0.01</v>
      </c>
      <c r="YZ9" s="2">
        <v>0.73</v>
      </c>
      <c r="ZA9" s="2">
        <v>0</v>
      </c>
      <c r="ZB9" s="2">
        <v>0</v>
      </c>
      <c r="ZC9" s="2">
        <v>0</v>
      </c>
      <c r="ZD9" s="2">
        <v>0.44</v>
      </c>
      <c r="ZE9" s="2">
        <v>0</v>
      </c>
      <c r="ZF9" s="2">
        <v>0</v>
      </c>
      <c r="ZG9" s="2">
        <v>0</v>
      </c>
      <c r="ZH9" s="2">
        <v>0</v>
      </c>
      <c r="ZI9" s="2">
        <v>0</v>
      </c>
      <c r="ZJ9" s="2">
        <v>0</v>
      </c>
      <c r="ZK9" s="2">
        <v>0.4</v>
      </c>
      <c r="ZL9" s="2">
        <v>0.01</v>
      </c>
      <c r="ZM9" s="2">
        <v>0.15</v>
      </c>
      <c r="ZN9" s="2">
        <v>0</v>
      </c>
      <c r="ZO9" s="2">
        <v>0</v>
      </c>
      <c r="ZP9" s="2">
        <v>0.01</v>
      </c>
      <c r="ZQ9" s="2">
        <v>0.45</v>
      </c>
      <c r="ZR9" s="2">
        <v>0</v>
      </c>
      <c r="ZS9" s="2">
        <v>0</v>
      </c>
      <c r="ZT9" s="2">
        <v>0</v>
      </c>
      <c r="ZU9" s="2">
        <v>0</v>
      </c>
      <c r="ZV9" s="2">
        <v>0</v>
      </c>
      <c r="ZW9" s="2">
        <v>0</v>
      </c>
      <c r="ZX9" s="2">
        <v>0.14000000000000001</v>
      </c>
      <c r="ZY9" s="2">
        <v>1.6E-2</v>
      </c>
      <c r="ZZ9" s="2">
        <v>0.38400000000000001</v>
      </c>
      <c r="AAA9" s="2">
        <v>0.1</v>
      </c>
      <c r="AAB9" s="2">
        <v>0</v>
      </c>
      <c r="AAC9" s="2">
        <v>0.01</v>
      </c>
      <c r="AAD9" s="2">
        <v>0.38</v>
      </c>
      <c r="AAE9" s="2">
        <v>0</v>
      </c>
      <c r="AAF9" s="2">
        <v>0</v>
      </c>
      <c r="AAG9" s="2">
        <v>0</v>
      </c>
      <c r="AAH9" s="2">
        <v>0</v>
      </c>
      <c r="AAI9" s="2">
        <v>0</v>
      </c>
      <c r="AAJ9" s="2">
        <v>0</v>
      </c>
      <c r="AAK9" s="2">
        <v>6.9000000000000006E-2</v>
      </c>
      <c r="AAL9" s="2">
        <v>1E-3</v>
      </c>
      <c r="AAM9" s="2">
        <v>0.44</v>
      </c>
      <c r="AAN9" s="2">
        <v>0</v>
      </c>
      <c r="AAO9" s="2">
        <v>0</v>
      </c>
      <c r="AAP9" s="2">
        <v>0</v>
      </c>
      <c r="AAQ9" s="2">
        <v>0.12</v>
      </c>
      <c r="AAR9" s="2">
        <v>0</v>
      </c>
      <c r="AAS9" s="2">
        <v>0</v>
      </c>
      <c r="AAT9" s="2">
        <v>0</v>
      </c>
      <c r="AAU9" s="2">
        <v>0</v>
      </c>
      <c r="AAV9" s="2">
        <v>0</v>
      </c>
      <c r="AAW9" s="2">
        <v>0</v>
      </c>
      <c r="AAX9" s="2">
        <v>0.18</v>
      </c>
      <c r="AAY9" s="2">
        <v>0.01</v>
      </c>
      <c r="AAZ9" s="2">
        <v>0.69</v>
      </c>
      <c r="ABA9" s="2">
        <v>0</v>
      </c>
      <c r="ABB9" s="2">
        <v>0</v>
      </c>
      <c r="ABC9" s="2">
        <v>0.01</v>
      </c>
      <c r="ABD9" s="2">
        <v>0.45</v>
      </c>
      <c r="ABE9" s="2">
        <v>0</v>
      </c>
      <c r="ABF9" s="2">
        <v>0</v>
      </c>
      <c r="ABG9" s="2">
        <v>0</v>
      </c>
      <c r="ABH9" s="2">
        <v>0</v>
      </c>
      <c r="ABI9" s="2">
        <v>0</v>
      </c>
      <c r="ABJ9" s="2">
        <v>0</v>
      </c>
      <c r="ABK9" s="2">
        <v>0.14000000000000001</v>
      </c>
      <c r="ABL9" s="2">
        <v>1.6E-2</v>
      </c>
      <c r="ABM9" s="2">
        <v>0.38400000000000001</v>
      </c>
      <c r="ABN9" s="2">
        <v>0.1</v>
      </c>
      <c r="ABO9" s="2">
        <v>0</v>
      </c>
      <c r="ABP9" s="2">
        <v>0.01</v>
      </c>
      <c r="ABQ9" s="2">
        <v>0.38</v>
      </c>
      <c r="ABR9" s="2">
        <v>0</v>
      </c>
      <c r="ABS9" s="2">
        <v>0</v>
      </c>
      <c r="ABT9" s="2">
        <v>0</v>
      </c>
      <c r="ABU9" s="2">
        <v>0</v>
      </c>
      <c r="ABV9" s="2">
        <v>0</v>
      </c>
      <c r="ABW9" s="2">
        <v>0</v>
      </c>
      <c r="ABX9" s="2">
        <v>6.9000000000000006E-2</v>
      </c>
      <c r="ABY9" s="2">
        <v>1E-3</v>
      </c>
      <c r="ABZ9" s="2">
        <v>0.44</v>
      </c>
      <c r="ACA9" s="2">
        <v>0</v>
      </c>
      <c r="ACB9" s="2">
        <v>0</v>
      </c>
      <c r="ACC9" s="2">
        <v>0</v>
      </c>
      <c r="ACD9" s="2">
        <v>0.12</v>
      </c>
      <c r="ACE9" s="2">
        <v>0</v>
      </c>
      <c r="ACF9" s="2">
        <v>0</v>
      </c>
      <c r="ACG9" s="2">
        <v>0</v>
      </c>
      <c r="ACH9" s="2">
        <v>0</v>
      </c>
      <c r="ACI9" s="2">
        <v>0</v>
      </c>
      <c r="ACJ9" s="2">
        <v>0</v>
      </c>
      <c r="ACK9" s="2">
        <v>0.18</v>
      </c>
      <c r="ACL9" s="2">
        <v>0.01</v>
      </c>
      <c r="ACM9" s="2">
        <v>0.69</v>
      </c>
      <c r="ACU9" s="2">
        <v>0</v>
      </c>
      <c r="ACV9" s="2">
        <v>0</v>
      </c>
      <c r="ACW9" s="2">
        <v>0.8</v>
      </c>
      <c r="ACX9" s="2">
        <v>0</v>
      </c>
      <c r="ACY9" s="2">
        <v>0</v>
      </c>
      <c r="ACZ9" s="2">
        <v>0</v>
      </c>
      <c r="ADA9" s="2">
        <v>0</v>
      </c>
      <c r="ADB9" s="2">
        <v>0.19</v>
      </c>
      <c r="ADC9" s="2">
        <v>0.01</v>
      </c>
      <c r="ADD9" s="2">
        <v>0</v>
      </c>
      <c r="ADE9" s="2">
        <v>0</v>
      </c>
      <c r="ADF9" s="2">
        <v>1</v>
      </c>
      <c r="ADG9" s="2">
        <v>0</v>
      </c>
      <c r="ADH9" s="2">
        <v>0</v>
      </c>
      <c r="ADI9" s="2">
        <v>0</v>
      </c>
      <c r="ADJ9" s="2">
        <v>0</v>
      </c>
      <c r="ADK9" s="2">
        <v>0</v>
      </c>
      <c r="ADL9" s="2">
        <v>0</v>
      </c>
      <c r="ADM9" s="2">
        <v>0</v>
      </c>
      <c r="ADN9" s="2">
        <v>0</v>
      </c>
      <c r="ADO9" s="2">
        <v>0.28000000000000003</v>
      </c>
      <c r="ADP9" s="2">
        <v>0</v>
      </c>
      <c r="ADQ9" s="2">
        <v>0</v>
      </c>
      <c r="ADR9" s="2">
        <v>0</v>
      </c>
      <c r="ADS9" s="2">
        <v>0.1</v>
      </c>
      <c r="ADT9" s="2">
        <v>0.06</v>
      </c>
      <c r="ADU9" s="2">
        <v>0.56000000000000005</v>
      </c>
      <c r="ADV9" s="2">
        <v>0</v>
      </c>
      <c r="ADW9" s="2">
        <v>0</v>
      </c>
      <c r="ADX9" s="2">
        <v>1</v>
      </c>
      <c r="ADY9" s="2">
        <v>0.1</v>
      </c>
      <c r="ADZ9" s="2">
        <v>0.9</v>
      </c>
      <c r="AEA9" s="2">
        <v>0</v>
      </c>
      <c r="AEB9" s="2">
        <v>1</v>
      </c>
      <c r="AEC9" s="2">
        <v>0</v>
      </c>
      <c r="AED9" s="2">
        <v>0</v>
      </c>
      <c r="AEE9" s="2">
        <v>0</v>
      </c>
      <c r="AEF9" s="2">
        <v>0</v>
      </c>
      <c r="AEG9" s="2">
        <v>0</v>
      </c>
      <c r="AEH9" s="2">
        <v>1</v>
      </c>
      <c r="AEI9" s="2">
        <v>0</v>
      </c>
      <c r="AEJ9" s="2">
        <v>0</v>
      </c>
      <c r="AEK9" s="2">
        <v>0</v>
      </c>
      <c r="AEL9" s="2">
        <v>1</v>
      </c>
      <c r="AEM9" s="2">
        <v>0</v>
      </c>
      <c r="AEN9" s="2">
        <v>0</v>
      </c>
      <c r="AEO9" s="2">
        <v>0</v>
      </c>
      <c r="AEP9" s="2">
        <v>0</v>
      </c>
      <c r="AEQ9" s="2">
        <v>1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0.01</v>
      </c>
      <c r="AEX9" s="2">
        <v>0</v>
      </c>
      <c r="AEY9" s="2">
        <v>0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0.3</v>
      </c>
      <c r="AFF9" s="2">
        <v>0</v>
      </c>
      <c r="AFG9" s="2">
        <v>0.7</v>
      </c>
      <c r="AFH9" s="2">
        <v>0</v>
      </c>
      <c r="AFI9" s="2">
        <v>0</v>
      </c>
      <c r="AFJ9" s="2">
        <v>0</v>
      </c>
      <c r="AFK9" s="2">
        <v>0</v>
      </c>
      <c r="AFL9" s="2">
        <v>0</v>
      </c>
      <c r="AFM9" s="2">
        <v>0</v>
      </c>
      <c r="AGB9" s="2">
        <v>0.37380000000000002</v>
      </c>
      <c r="AGC9" s="2">
        <v>0.26700000000000002</v>
      </c>
      <c r="AGD9" s="2">
        <v>60</v>
      </c>
      <c r="AGE9" s="2">
        <v>3.5</v>
      </c>
      <c r="AGF9" s="2">
        <v>3.8</v>
      </c>
      <c r="AGG9" s="2">
        <v>2.6753999999999998</v>
      </c>
      <c r="AGH9" s="2">
        <v>2.474745</v>
      </c>
      <c r="AGI9" s="2">
        <v>3.746</v>
      </c>
      <c r="AGJ9" s="2">
        <v>3.5</v>
      </c>
      <c r="AGK9" s="2">
        <v>0.28999999999999998</v>
      </c>
      <c r="AGL9" s="2">
        <v>0.10199999999999999</v>
      </c>
      <c r="AGM9" s="2">
        <v>0.1</v>
      </c>
      <c r="AGN9" s="2">
        <v>0.28999999999999998</v>
      </c>
      <c r="AGO9" s="2">
        <v>0.224</v>
      </c>
      <c r="AGP9" s="2">
        <v>0.21</v>
      </c>
      <c r="AGQ9" s="2">
        <v>2.5</v>
      </c>
      <c r="AGR9" s="2">
        <v>3</v>
      </c>
      <c r="AGS9" s="2">
        <v>1.911</v>
      </c>
      <c r="AGT9" s="2">
        <v>1.7676750000000001</v>
      </c>
      <c r="AGU9" s="2">
        <v>0.26800000000000002</v>
      </c>
      <c r="AGV9" s="2">
        <v>2.5</v>
      </c>
      <c r="AGW9" s="2">
        <v>3.5</v>
      </c>
      <c r="AGX9" s="2">
        <v>3.8219999999999898</v>
      </c>
      <c r="AGY9" s="2">
        <v>2.6753999999999998</v>
      </c>
      <c r="AGZ9" s="2">
        <v>2.474745</v>
      </c>
      <c r="AHA9" s="2">
        <v>3.746</v>
      </c>
      <c r="AHB9" s="2">
        <v>3.5</v>
      </c>
      <c r="AHC9" s="2">
        <v>11</v>
      </c>
      <c r="AHD9" s="2">
        <v>13</v>
      </c>
      <c r="AHE9" s="2">
        <v>16</v>
      </c>
      <c r="AHF9" s="2">
        <v>9.25</v>
      </c>
      <c r="AHG9" s="2">
        <v>14</v>
      </c>
      <c r="AHH9" s="2">
        <v>7.0000000000000007E-2</v>
      </c>
      <c r="AHI9" s="2">
        <v>1.02</v>
      </c>
      <c r="AHJ9" s="2">
        <v>0.1</v>
      </c>
      <c r="AHK9" s="2">
        <v>0</v>
      </c>
      <c r="AHL9" s="2">
        <v>0</v>
      </c>
      <c r="AHM9" s="2">
        <v>0</v>
      </c>
      <c r="AHN9" s="2">
        <v>0</v>
      </c>
      <c r="AHO9" s="2">
        <v>0</v>
      </c>
      <c r="AHP9" s="2">
        <v>0</v>
      </c>
      <c r="AHQ9" s="2">
        <v>89.02</v>
      </c>
      <c r="AHR9" s="2">
        <v>10.8</v>
      </c>
      <c r="AHS9" s="2">
        <v>23.97</v>
      </c>
      <c r="AHT9" s="2">
        <v>2.2360000000000002</v>
      </c>
      <c r="AHU9" s="2">
        <v>0.4</v>
      </c>
      <c r="AHV9" s="2">
        <v>0.6</v>
      </c>
      <c r="AHW9" s="2">
        <v>0.9</v>
      </c>
      <c r="AHX9" s="2">
        <v>0.45</v>
      </c>
      <c r="AHY9" s="2">
        <v>0.3</v>
      </c>
      <c r="AHZ9" s="2">
        <v>1316</v>
      </c>
      <c r="AIA9" s="2">
        <v>105</v>
      </c>
      <c r="AIB9" s="2">
        <v>11520</v>
      </c>
      <c r="AIC9" s="2">
        <v>150</v>
      </c>
      <c r="AID9" s="2">
        <v>0</v>
      </c>
      <c r="AIE9" s="2">
        <v>0</v>
      </c>
      <c r="AIF9" s="2">
        <v>0</v>
      </c>
      <c r="AIG9" s="2">
        <v>0</v>
      </c>
      <c r="AIH9" s="2">
        <v>0</v>
      </c>
      <c r="AII9" s="2">
        <v>0</v>
      </c>
      <c r="AIJ9" s="2">
        <v>0</v>
      </c>
      <c r="AIK9" s="2">
        <v>0</v>
      </c>
      <c r="AIL9" s="2">
        <v>0</v>
      </c>
      <c r="AIM9" s="2">
        <v>0</v>
      </c>
      <c r="AIN9" s="2">
        <v>0</v>
      </c>
      <c r="AIO9" s="2">
        <v>0</v>
      </c>
      <c r="AIP9" s="2">
        <v>-999</v>
      </c>
      <c r="AIQ9" s="2">
        <v>-999</v>
      </c>
      <c r="AIR9" s="2">
        <v>-999</v>
      </c>
      <c r="AIS9" s="2">
        <v>-999</v>
      </c>
      <c r="AIT9" s="2">
        <v>-999</v>
      </c>
      <c r="AIU9" s="2">
        <v>-999</v>
      </c>
      <c r="AIV9" s="2">
        <v>-999</v>
      </c>
      <c r="AIW9" s="2">
        <v>-999</v>
      </c>
      <c r="AIX9" s="2">
        <v>-999</v>
      </c>
      <c r="AIY9" s="2">
        <v>-999</v>
      </c>
      <c r="AIZ9" s="2">
        <v>-999</v>
      </c>
      <c r="AJA9" s="2">
        <v>-999</v>
      </c>
      <c r="AJB9" s="2">
        <v>1200</v>
      </c>
      <c r="AJC9" s="2">
        <v>800</v>
      </c>
      <c r="AJD9" s="2">
        <v>800</v>
      </c>
      <c r="AJE9" s="2">
        <v>4335</v>
      </c>
      <c r="AJF9" s="2">
        <v>4525</v>
      </c>
      <c r="AJG9" s="2">
        <v>6625</v>
      </c>
      <c r="AJH9" s="2">
        <v>4074</v>
      </c>
      <c r="AJI9" s="2">
        <v>2845</v>
      </c>
      <c r="AJJ9" s="2">
        <v>1131.5</v>
      </c>
      <c r="AJK9" s="2">
        <v>3076</v>
      </c>
      <c r="AJL9" s="2">
        <v>3083</v>
      </c>
      <c r="AJM9" s="2">
        <v>7289</v>
      </c>
      <c r="AJN9" s="2">
        <v>3998</v>
      </c>
      <c r="AJO9" s="2">
        <v>3998</v>
      </c>
      <c r="AJP9" s="2">
        <v>850</v>
      </c>
      <c r="AJQ9" s="2">
        <v>3678</v>
      </c>
      <c r="AJR9" s="2">
        <v>3880</v>
      </c>
      <c r="AJS9" s="2">
        <v>167.02500000000001</v>
      </c>
      <c r="AJT9" s="2">
        <v>74.266037735848997</v>
      </c>
      <c r="AJU9" s="8">
        <v>3.358E-5</v>
      </c>
      <c r="AJV9" s="2">
        <v>1.0099</v>
      </c>
      <c r="AJW9" s="8">
        <v>5.8769999999999998E-6</v>
      </c>
      <c r="AJX9" s="2">
        <v>2.6086956521739101E-4</v>
      </c>
      <c r="AJY9" s="2">
        <v>6.3739130434782503</v>
      </c>
      <c r="AJZ9" s="8">
        <v>5.2173913043478202E-5</v>
      </c>
      <c r="AKA9" s="2">
        <v>1</v>
      </c>
      <c r="AKB9" s="2">
        <v>1</v>
      </c>
      <c r="AKC9" s="2">
        <v>1</v>
      </c>
      <c r="AKD9" s="2">
        <v>1</v>
      </c>
      <c r="AKE9" s="2">
        <v>1</v>
      </c>
      <c r="AKF9" s="2">
        <v>1</v>
      </c>
      <c r="AKG9" s="2">
        <v>1</v>
      </c>
      <c r="AKH9" s="2">
        <v>0.1</v>
      </c>
      <c r="AKI9" s="2">
        <v>1</v>
      </c>
      <c r="AKJ9" s="2">
        <v>1</v>
      </c>
      <c r="AKK9" s="2">
        <v>1</v>
      </c>
      <c r="AKL9" s="2">
        <v>1</v>
      </c>
      <c r="AKM9" s="2">
        <v>1</v>
      </c>
      <c r="AKN9" s="2">
        <v>0.1</v>
      </c>
      <c r="AKO9" s="2">
        <v>1</v>
      </c>
      <c r="AKP9" s="2">
        <v>1</v>
      </c>
      <c r="AKQ9" s="2">
        <v>1</v>
      </c>
      <c r="AKR9" s="2">
        <v>1</v>
      </c>
      <c r="AKS9" s="2">
        <v>1</v>
      </c>
      <c r="AKT9" s="2">
        <v>1</v>
      </c>
      <c r="AKU9" s="2">
        <v>1</v>
      </c>
      <c r="AKV9" s="2">
        <v>1</v>
      </c>
      <c r="AKW9" s="2">
        <v>1</v>
      </c>
      <c r="AKX9" s="2">
        <v>1</v>
      </c>
      <c r="AKY9" s="2">
        <v>1</v>
      </c>
      <c r="AKZ9" s="2">
        <v>1</v>
      </c>
      <c r="ALA9" s="2">
        <v>1</v>
      </c>
      <c r="ALB9" s="2">
        <v>1</v>
      </c>
      <c r="ALC9" s="2">
        <v>1</v>
      </c>
      <c r="ALD9" s="2">
        <v>1</v>
      </c>
      <c r="ALE9" s="2">
        <v>1</v>
      </c>
      <c r="ALF9" s="2">
        <v>1</v>
      </c>
      <c r="ALG9" s="2">
        <v>1</v>
      </c>
      <c r="ALH9" s="2">
        <v>1</v>
      </c>
      <c r="ALI9" s="2">
        <v>1</v>
      </c>
      <c r="ALJ9" s="2">
        <v>1</v>
      </c>
      <c r="ALK9" s="2">
        <v>1</v>
      </c>
      <c r="ALL9" s="2">
        <v>1</v>
      </c>
      <c r="ALM9" s="2">
        <v>1</v>
      </c>
      <c r="ALN9" s="2">
        <v>1</v>
      </c>
      <c r="ALO9" s="2">
        <v>1</v>
      </c>
      <c r="ALP9" s="2">
        <v>1</v>
      </c>
      <c r="ALQ9" s="2">
        <v>300</v>
      </c>
      <c r="ALR9" s="2">
        <v>150</v>
      </c>
      <c r="ALS9" s="2">
        <v>150</v>
      </c>
      <c r="ALT9" s="2">
        <v>151.72999999999999</v>
      </c>
      <c r="ALU9" s="2">
        <v>131.62</v>
      </c>
      <c r="ALV9" s="2">
        <v>62.34</v>
      </c>
      <c r="ALW9" s="2">
        <v>42.49</v>
      </c>
      <c r="ALX9" s="2">
        <v>28.89</v>
      </c>
      <c r="ALY9" s="2">
        <v>13.77</v>
      </c>
      <c r="ALZ9" s="2">
        <v>143.22</v>
      </c>
      <c r="AMA9" s="2">
        <v>43.78</v>
      </c>
      <c r="AMB9" s="2">
        <v>113.41</v>
      </c>
      <c r="AMC9" s="2">
        <v>71.94</v>
      </c>
      <c r="AMD9" s="2">
        <v>71.94</v>
      </c>
      <c r="AME9" s="2">
        <v>24.82</v>
      </c>
      <c r="AMF9" s="2">
        <v>24.26</v>
      </c>
      <c r="AMG9" s="2">
        <v>71.37</v>
      </c>
      <c r="AMH9" s="2">
        <v>0</v>
      </c>
      <c r="AMI9" s="2">
        <v>0</v>
      </c>
      <c r="AMJ9" s="2">
        <v>0</v>
      </c>
      <c r="AMK9" s="2">
        <v>0</v>
      </c>
      <c r="AML9" s="9">
        <v>8.4852598913886731E-3</v>
      </c>
      <c r="AMM9" s="2">
        <v>0.35821130721489525</v>
      </c>
      <c r="AMN9" s="2">
        <v>0</v>
      </c>
      <c r="AMO9" s="2">
        <v>0</v>
      </c>
      <c r="AMP9" s="2">
        <v>0</v>
      </c>
      <c r="AMQ9" s="2">
        <v>0</v>
      </c>
      <c r="AMR9" s="2">
        <v>0.29062015128006208</v>
      </c>
      <c r="AMS9" s="2">
        <v>0</v>
      </c>
      <c r="AMT9" s="2">
        <v>0</v>
      </c>
      <c r="AMU9" s="2">
        <v>0.30377230411171452</v>
      </c>
      <c r="AMV9" s="2">
        <v>1.7819045771916214E-2</v>
      </c>
      <c r="AMW9" s="2">
        <v>0</v>
      </c>
      <c r="AMX9" s="2">
        <v>2.1091931730023272E-2</v>
      </c>
      <c r="AMY9" s="2">
        <v>1.3034433554879601</v>
      </c>
      <c r="AMZ9" s="2">
        <v>0</v>
      </c>
      <c r="ANA9" s="2">
        <v>1.9670000000000001</v>
      </c>
      <c r="ANB9" s="2">
        <v>0</v>
      </c>
      <c r="ANC9" s="2">
        <v>0</v>
      </c>
      <c r="AND9" s="2">
        <v>1.3149999999999999</v>
      </c>
      <c r="ANE9" s="2">
        <v>0</v>
      </c>
      <c r="ANF9" s="2">
        <v>8.8768668407310704E-3</v>
      </c>
      <c r="ANG9" s="2">
        <v>1</v>
      </c>
      <c r="ANH9" s="2">
        <v>1.0869565217391299</v>
      </c>
      <c r="ANI9" s="2">
        <v>0</v>
      </c>
      <c r="ANJ9" s="2">
        <v>1.00230179028132</v>
      </c>
      <c r="ANK9" s="2">
        <v>7.8260869565217606E-3</v>
      </c>
      <c r="ANL9" s="2">
        <v>7.3657289002557703E-3</v>
      </c>
      <c r="ANM9" s="2">
        <v>4.6035805626598499E-4</v>
      </c>
      <c r="ANN9" s="2">
        <v>5.0639386189258399E-3</v>
      </c>
      <c r="ANO9" s="2">
        <v>0</v>
      </c>
      <c r="ANP9" s="2">
        <v>3.7634408602150601E-2</v>
      </c>
      <c r="ANQ9" s="2">
        <v>3.5420619860847602E-2</v>
      </c>
      <c r="ANR9" s="2">
        <v>2.2137887413029699E-3</v>
      </c>
      <c r="ANS9" s="2">
        <v>0</v>
      </c>
      <c r="ANT9" s="2">
        <v>0</v>
      </c>
      <c r="ANU9" s="2">
        <v>4.0540540540540397E-2</v>
      </c>
      <c r="ANV9" s="2">
        <v>3.8155802861685101E-2</v>
      </c>
      <c r="ANW9" s="2">
        <v>2.3847376788553201E-3</v>
      </c>
      <c r="ANX9" s="2">
        <v>0</v>
      </c>
      <c r="ANY9" s="2">
        <v>0</v>
      </c>
      <c r="ANZ9" s="2">
        <v>1</v>
      </c>
      <c r="AOA9" s="2">
        <v>1</v>
      </c>
      <c r="AOB9" s="2">
        <v>1</v>
      </c>
      <c r="AOC9" s="2">
        <v>2.76E-2</v>
      </c>
      <c r="AOD9" s="2">
        <v>0.94899999999999995</v>
      </c>
      <c r="AOE9" s="2">
        <v>0.2969</v>
      </c>
      <c r="AOF9" s="2">
        <v>0.47910000000000003</v>
      </c>
      <c r="AOG9" s="2">
        <v>0.04</v>
      </c>
      <c r="AOH9" s="2">
        <v>8.5949999999999999E-2</v>
      </c>
      <c r="AOI9" s="2">
        <v>1.405E-2</v>
      </c>
      <c r="AOJ9" s="2">
        <v>1</v>
      </c>
      <c r="AOK9" s="2">
        <v>1</v>
      </c>
      <c r="AOL9" s="2">
        <v>1</v>
      </c>
      <c r="AOM9" s="2">
        <v>0</v>
      </c>
      <c r="AON9" s="2">
        <v>1</v>
      </c>
      <c r="AOO9" s="2">
        <v>0</v>
      </c>
      <c r="AOP9" s="2">
        <v>0</v>
      </c>
      <c r="AOQ9" s="2">
        <v>0</v>
      </c>
      <c r="AOR9" s="2">
        <v>0</v>
      </c>
      <c r="AOS9" s="2">
        <v>1</v>
      </c>
      <c r="AOT9" s="2">
        <v>1</v>
      </c>
      <c r="AOU9" s="2">
        <v>0</v>
      </c>
      <c r="AOV9" s="2">
        <v>1</v>
      </c>
      <c r="AOW9" s="2">
        <v>0</v>
      </c>
      <c r="AOX9" s="2">
        <v>1</v>
      </c>
      <c r="AOY9" s="2">
        <v>0</v>
      </c>
      <c r="AOZ9" s="2">
        <v>1</v>
      </c>
      <c r="APA9" s="2">
        <v>1</v>
      </c>
      <c r="APB9" s="2">
        <v>1</v>
      </c>
      <c r="APC9" s="2">
        <v>1</v>
      </c>
      <c r="APD9" s="2">
        <v>1</v>
      </c>
      <c r="APE9" s="2">
        <v>1.1499999999999999</v>
      </c>
      <c r="APF9" s="2">
        <v>0</v>
      </c>
      <c r="APG9" s="2">
        <v>1</v>
      </c>
      <c r="APH9" s="2">
        <v>0</v>
      </c>
      <c r="API9" s="2">
        <v>1</v>
      </c>
      <c r="APJ9" s="2">
        <v>1</v>
      </c>
      <c r="APK9" s="2">
        <v>1</v>
      </c>
      <c r="APL9" s="2">
        <v>1</v>
      </c>
      <c r="APM9" s="2">
        <v>1</v>
      </c>
      <c r="APN9" s="2">
        <v>1</v>
      </c>
      <c r="APO9" s="2">
        <v>1</v>
      </c>
      <c r="APP9" s="2">
        <v>1</v>
      </c>
      <c r="APQ9" s="2">
        <v>0.5</v>
      </c>
      <c r="APR9" s="2">
        <v>0</v>
      </c>
      <c r="APS9" s="2">
        <v>1</v>
      </c>
      <c r="APT9" s="2">
        <v>0.25</v>
      </c>
      <c r="APU9" s="2">
        <v>0.25</v>
      </c>
      <c r="APV9" s="2">
        <v>0.25</v>
      </c>
      <c r="APW9" s="2">
        <v>0.25</v>
      </c>
      <c r="APX9" s="2">
        <v>0</v>
      </c>
      <c r="APY9" s="2">
        <v>0.5</v>
      </c>
      <c r="APZ9" s="2">
        <v>0</v>
      </c>
      <c r="AQA9" s="2">
        <v>0</v>
      </c>
      <c r="AQB9" s="2">
        <v>0</v>
      </c>
      <c r="AQC9" s="2">
        <v>0</v>
      </c>
      <c r="AQD9" s="2">
        <v>198.95</v>
      </c>
      <c r="AQE9" s="2">
        <v>0.4</v>
      </c>
      <c r="AQF9" s="2">
        <v>0</v>
      </c>
      <c r="AQG9" s="2">
        <v>0</v>
      </c>
      <c r="AQH9" s="2">
        <v>0</v>
      </c>
      <c r="AQI9" s="2">
        <v>3</v>
      </c>
      <c r="AQJ9" s="2">
        <v>0</v>
      </c>
      <c r="AQK9" s="2">
        <v>25</v>
      </c>
      <c r="AQL9" s="2">
        <v>0</v>
      </c>
      <c r="AQM9" s="2">
        <v>-999</v>
      </c>
      <c r="AQN9" s="2">
        <v>-999</v>
      </c>
      <c r="AQO9" s="2">
        <v>-999</v>
      </c>
      <c r="AQP9" s="2">
        <v>-999</v>
      </c>
      <c r="AQQ9" s="2">
        <v>-999</v>
      </c>
      <c r="AQR9" s="2">
        <v>-999</v>
      </c>
      <c r="AQS9" s="2">
        <v>-999</v>
      </c>
      <c r="AQT9" s="2">
        <v>-999</v>
      </c>
      <c r="AQU9" s="2">
        <v>-999</v>
      </c>
      <c r="AQV9" s="2">
        <v>-999</v>
      </c>
      <c r="AQW9" s="2">
        <v>-999</v>
      </c>
      <c r="AQX9" s="2">
        <v>-999</v>
      </c>
      <c r="AQY9" s="2">
        <v>-999</v>
      </c>
      <c r="AQZ9" s="2">
        <v>0</v>
      </c>
      <c r="ARA9" s="2">
        <v>-999</v>
      </c>
      <c r="ARB9" s="2">
        <v>-999</v>
      </c>
      <c r="ARC9" s="2">
        <v>-999</v>
      </c>
      <c r="ARD9" s="2">
        <v>-999</v>
      </c>
      <c r="ARE9" s="2">
        <v>-999</v>
      </c>
      <c r="ARF9" s="2">
        <v>-999</v>
      </c>
      <c r="ARG9" s="2">
        <v>-999</v>
      </c>
      <c r="ARH9" s="2">
        <v>-999</v>
      </c>
      <c r="ARI9" s="2">
        <v>-999</v>
      </c>
      <c r="ARJ9" s="2">
        <v>-999</v>
      </c>
      <c r="ARK9" s="2">
        <v>-999</v>
      </c>
      <c r="ARL9" s="2">
        <v>-999</v>
      </c>
      <c r="ARM9" s="2">
        <v>-999</v>
      </c>
      <c r="ARN9" s="2">
        <v>-999</v>
      </c>
      <c r="ARO9" s="2">
        <v>-999</v>
      </c>
      <c r="ARP9" s="2">
        <v>-999</v>
      </c>
      <c r="ARQ9" s="2">
        <v>-999</v>
      </c>
      <c r="ARR9" s="2">
        <v>-999</v>
      </c>
      <c r="ARS9" s="2">
        <v>-999</v>
      </c>
      <c r="ART9" s="2">
        <v>-999</v>
      </c>
      <c r="ARU9" s="2">
        <v>-999</v>
      </c>
      <c r="ARV9" s="2">
        <v>-999</v>
      </c>
      <c r="ARW9" s="2">
        <v>-999</v>
      </c>
      <c r="ARX9" s="2">
        <v>-999</v>
      </c>
      <c r="ARY9" s="2">
        <v>-999</v>
      </c>
      <c r="ARZ9" s="2">
        <v>-999</v>
      </c>
      <c r="ASA9" s="2">
        <v>-999</v>
      </c>
      <c r="ASB9" s="2">
        <v>-999</v>
      </c>
      <c r="ASC9" s="2">
        <v>-999</v>
      </c>
      <c r="ASD9" s="2">
        <v>-999</v>
      </c>
      <c r="ASE9" s="2">
        <v>-999</v>
      </c>
      <c r="ASF9" s="2">
        <v>-999</v>
      </c>
      <c r="ASG9" s="2">
        <v>-999</v>
      </c>
      <c r="ASH9" s="2">
        <v>-999</v>
      </c>
      <c r="ASI9" s="2">
        <v>-999</v>
      </c>
      <c r="ASJ9" s="2">
        <v>-999</v>
      </c>
      <c r="ASK9" s="2">
        <v>-999</v>
      </c>
      <c r="ASL9" s="2">
        <v>-999</v>
      </c>
      <c r="ASM9" s="2">
        <v>-999</v>
      </c>
      <c r="ASN9" s="2">
        <v>-999</v>
      </c>
      <c r="ASO9" s="2">
        <v>-999</v>
      </c>
      <c r="ASP9" s="2">
        <v>4.51</v>
      </c>
      <c r="ASQ9" s="2">
        <v>133</v>
      </c>
      <c r="ASR9" s="2">
        <v>11.49</v>
      </c>
      <c r="ASS9" s="2">
        <v>78.8</v>
      </c>
      <c r="AST9" s="2">
        <v>6.11</v>
      </c>
      <c r="ASU9" s="2">
        <v>2.3199999999999998</v>
      </c>
      <c r="ASV9" s="2">
        <v>1.21</v>
      </c>
      <c r="ASW9" s="2">
        <v>26</v>
      </c>
      <c r="ASX9" s="2">
        <v>2.81</v>
      </c>
      <c r="ASY9" s="2">
        <v>3.22</v>
      </c>
      <c r="ASZ9" s="2">
        <v>183.3</v>
      </c>
      <c r="ATA9" s="2">
        <v>30</v>
      </c>
      <c r="ATB9" s="2">
        <v>120</v>
      </c>
      <c r="ATC9" s="2">
        <v>40</v>
      </c>
      <c r="ATD9" s="2">
        <v>0.3</v>
      </c>
      <c r="ATE9" s="2">
        <v>1.55</v>
      </c>
      <c r="ATF9" s="2">
        <v>0</v>
      </c>
      <c r="ATG9" s="2">
        <v>1.8140000000000001</v>
      </c>
      <c r="ATI9" s="2">
        <v>250</v>
      </c>
      <c r="ATJ9" s="2">
        <v>1</v>
      </c>
      <c r="ATK9" s="2">
        <v>2</v>
      </c>
      <c r="ATL9" s="2">
        <v>70</v>
      </c>
      <c r="ATM9" s="2">
        <v>470</v>
      </c>
      <c r="ATN9" s="2">
        <v>15</v>
      </c>
      <c r="ATO9" s="2">
        <v>2.8</v>
      </c>
      <c r="ATP9" s="2">
        <v>15</v>
      </c>
      <c r="ATQ9" s="2">
        <v>3.7</v>
      </c>
      <c r="ATR9" s="10">
        <v>17750917</v>
      </c>
      <c r="ATS9" s="10">
        <v>4052083</v>
      </c>
      <c r="ATT9" s="2">
        <v>100000</v>
      </c>
      <c r="ATU9" s="2">
        <v>80000</v>
      </c>
      <c r="ATV9" s="2">
        <v>5000</v>
      </c>
      <c r="ATW9" s="2">
        <v>14000</v>
      </c>
      <c r="ATX9" s="2">
        <v>1400</v>
      </c>
      <c r="ATY9" s="2">
        <v>10000</v>
      </c>
      <c r="ATZ9" s="2">
        <v>108</v>
      </c>
      <c r="AUA9" s="2">
        <v>105000</v>
      </c>
      <c r="AUB9" s="2">
        <v>100000</v>
      </c>
      <c r="AUC9" s="2">
        <v>0</v>
      </c>
      <c r="AUD9" s="2">
        <v>0</v>
      </c>
      <c r="AUE9" s="2">
        <v>0</v>
      </c>
      <c r="AUF9" s="2">
        <v>0</v>
      </c>
      <c r="AUG9" s="2">
        <v>0</v>
      </c>
      <c r="AUH9" s="2">
        <v>0</v>
      </c>
      <c r="AUI9" s="2">
        <v>5000</v>
      </c>
      <c r="AUJ9" s="2">
        <v>400000</v>
      </c>
      <c r="AUK9" s="2">
        <v>1424850.75</v>
      </c>
      <c r="AUL9" s="2">
        <v>0</v>
      </c>
      <c r="AUM9" s="2">
        <v>0.9</v>
      </c>
      <c r="AUN9" s="2">
        <v>1.2</v>
      </c>
      <c r="AUO9" s="2">
        <v>0.01</v>
      </c>
      <c r="AUP9" s="2">
        <v>2.6</v>
      </c>
      <c r="AUQ9" s="2">
        <v>0</v>
      </c>
      <c r="AUR9" s="2">
        <v>7.8</v>
      </c>
      <c r="AUS9" s="2">
        <v>0.6</v>
      </c>
      <c r="AUT9" s="2">
        <v>6</v>
      </c>
      <c r="AUU9" s="2">
        <v>0</v>
      </c>
      <c r="AUV9" s="2">
        <v>0</v>
      </c>
      <c r="AUW9" s="2">
        <v>0</v>
      </c>
      <c r="AUX9" s="2">
        <v>0</v>
      </c>
      <c r="AUY9" s="2">
        <v>0.1</v>
      </c>
      <c r="AUZ9" s="2">
        <v>2</v>
      </c>
      <c r="AVA9" s="2">
        <v>4</v>
      </c>
      <c r="AVB9" s="2">
        <v>0.6</v>
      </c>
      <c r="AVC9" s="2">
        <v>0.5</v>
      </c>
      <c r="AVD9" s="2">
        <v>0.95</v>
      </c>
      <c r="AVE9" s="2">
        <v>1</v>
      </c>
      <c r="AVF9" s="2">
        <v>1</v>
      </c>
      <c r="AVG9" s="2">
        <v>1</v>
      </c>
      <c r="AVH9" s="2">
        <v>1</v>
      </c>
      <c r="AVI9" s="2">
        <v>1</v>
      </c>
      <c r="AVJ9" s="2">
        <v>1</v>
      </c>
      <c r="AVK9" s="2">
        <v>1</v>
      </c>
      <c r="AVL9" s="2">
        <v>1</v>
      </c>
      <c r="AVM9" s="2">
        <v>1</v>
      </c>
      <c r="AVN9" s="2">
        <v>1</v>
      </c>
      <c r="AVO9" s="2">
        <v>1</v>
      </c>
      <c r="AVP9" s="2">
        <v>1</v>
      </c>
      <c r="AVQ9" s="2">
        <v>1</v>
      </c>
      <c r="AVR9" s="2">
        <v>1</v>
      </c>
      <c r="AVS9" s="2">
        <v>1</v>
      </c>
      <c r="AVT9" s="2">
        <v>1</v>
      </c>
      <c r="AVU9" s="2">
        <v>1</v>
      </c>
      <c r="AVV9" s="2">
        <v>1</v>
      </c>
      <c r="AVW9" s="2">
        <v>1</v>
      </c>
      <c r="AVX9" s="2">
        <v>1</v>
      </c>
      <c r="AVY9" s="2">
        <v>1</v>
      </c>
      <c r="AVZ9" s="2">
        <v>1</v>
      </c>
      <c r="AWA9" s="2">
        <v>1</v>
      </c>
      <c r="AWB9" s="2">
        <v>1</v>
      </c>
      <c r="AWC9" s="2">
        <v>1</v>
      </c>
      <c r="AWD9" s="2">
        <v>1</v>
      </c>
      <c r="AWE9" s="2">
        <v>60</v>
      </c>
      <c r="AWF9" s="2">
        <v>5</v>
      </c>
      <c r="AWG9" s="2">
        <v>4.5</v>
      </c>
      <c r="AWH9" s="2">
        <v>74.14</v>
      </c>
      <c r="AWI9" s="2">
        <v>14.57</v>
      </c>
      <c r="AWJ9" s="2">
        <v>14.57</v>
      </c>
      <c r="AWK9" s="2">
        <v>0.45</v>
      </c>
      <c r="AWL9" s="2">
        <v>25</v>
      </c>
      <c r="AWM9" s="2">
        <v>2</v>
      </c>
      <c r="AWN9" s="2">
        <v>1</v>
      </c>
      <c r="AWO9" s="2">
        <v>4</v>
      </c>
      <c r="AWP9" s="2">
        <v>25</v>
      </c>
      <c r="AWQ9" s="2">
        <v>5</v>
      </c>
      <c r="AWR9" s="2">
        <v>19</v>
      </c>
      <c r="AWS9" s="2">
        <v>25</v>
      </c>
      <c r="AWT9" s="2">
        <v>2</v>
      </c>
      <c r="AWU9" s="2">
        <v>3.4</v>
      </c>
      <c r="AWV9" s="2">
        <v>3</v>
      </c>
      <c r="AWW9" s="2">
        <v>4</v>
      </c>
      <c r="AWX9" s="2">
        <v>16</v>
      </c>
      <c r="AWY9" s="2">
        <v>16</v>
      </c>
      <c r="AWZ9" s="2">
        <v>25</v>
      </c>
      <c r="AXA9" s="2">
        <v>25</v>
      </c>
      <c r="AXB9" s="2">
        <v>25</v>
      </c>
    </row>
    <row r="10" spans="1:1302" x14ac:dyDescent="0.3">
      <c r="A10" s="1">
        <v>2018</v>
      </c>
      <c r="B10" s="2">
        <v>6552500</v>
      </c>
      <c r="C10" s="2">
        <v>0</v>
      </c>
      <c r="D10" s="2">
        <v>2317</v>
      </c>
      <c r="E10" s="2">
        <v>20</v>
      </c>
      <c r="F10" s="2">
        <v>2000</v>
      </c>
      <c r="G10" s="2">
        <v>1</v>
      </c>
      <c r="H10" s="2">
        <v>0.4</v>
      </c>
      <c r="I10" s="2">
        <v>5.0000000000000001E-3</v>
      </c>
      <c r="J10" s="2">
        <v>0.02</v>
      </c>
      <c r="K10" s="2">
        <v>1E-3</v>
      </c>
      <c r="L10" s="2">
        <v>7.0000000000000001E-3</v>
      </c>
      <c r="M10" s="2">
        <v>1E-3</v>
      </c>
      <c r="N10" s="2">
        <v>0.05</v>
      </c>
      <c r="O10" s="2">
        <v>4.7000000000000002E-3</v>
      </c>
      <c r="P10" s="2">
        <v>0.115</v>
      </c>
      <c r="Q10" s="2">
        <v>1.09E-2</v>
      </c>
      <c r="R10" s="2">
        <v>6.0000000000000001E-3</v>
      </c>
      <c r="S10" s="2">
        <v>1.7000000000000001E-2</v>
      </c>
      <c r="T10" s="2">
        <v>7.9000000000000001E-2</v>
      </c>
      <c r="U10" s="2">
        <v>2.2899999999999999E-3</v>
      </c>
      <c r="V10" s="2">
        <v>1.1999999999999999E-3</v>
      </c>
      <c r="W10" s="2">
        <v>8.0000000000000004E-4</v>
      </c>
      <c r="X10" s="2">
        <v>1.6E-2</v>
      </c>
      <c r="Y10" s="2">
        <v>1.4999999999999999E-2</v>
      </c>
      <c r="Z10" s="2">
        <v>2.5000000000000001E-2</v>
      </c>
      <c r="AA10" s="2">
        <v>0</v>
      </c>
      <c r="AB10" s="2">
        <v>10.43</v>
      </c>
      <c r="AC10" s="2">
        <v>3.08</v>
      </c>
      <c r="AD10" s="4">
        <v>12.456013454493412</v>
      </c>
      <c r="AE10" s="5">
        <v>164.66861642294714</v>
      </c>
      <c r="AF10" s="5">
        <v>665.66229623568711</v>
      </c>
      <c r="AG10" s="2">
        <v>0</v>
      </c>
      <c r="AH10" s="2">
        <v>0</v>
      </c>
      <c r="AI10" s="2">
        <v>800</v>
      </c>
      <c r="AJ10" s="2">
        <v>18.989999999999998</v>
      </c>
      <c r="AK10" s="2">
        <v>18.600000000000001</v>
      </c>
      <c r="AL10" s="2">
        <v>62</v>
      </c>
      <c r="AM10" s="6">
        <f t="shared" si="0"/>
        <v>148.30925925925928</v>
      </c>
      <c r="AN10" s="7">
        <v>110.18518518518519</v>
      </c>
      <c r="AO10" s="2">
        <v>0</v>
      </c>
      <c r="AP10" s="6">
        <v>476.3</v>
      </c>
      <c r="AQ10" s="7">
        <v>759.25925925925924</v>
      </c>
      <c r="AR10" s="2">
        <v>52.83</v>
      </c>
      <c r="AS10" s="2">
        <v>0</v>
      </c>
      <c r="AT10" s="7">
        <v>845.67901234567898</v>
      </c>
      <c r="AU10" s="2">
        <v>0</v>
      </c>
      <c r="AV10" s="2">
        <v>0</v>
      </c>
      <c r="AW10" s="2">
        <v>0</v>
      </c>
      <c r="AX10" s="2">
        <v>0</v>
      </c>
      <c r="AY10" s="2">
        <v>430</v>
      </c>
      <c r="AZ10" s="2">
        <v>9.99</v>
      </c>
      <c r="BA10" s="2">
        <v>74758.66</v>
      </c>
      <c r="BB10" s="2">
        <v>575</v>
      </c>
      <c r="BC10" s="2">
        <v>9380</v>
      </c>
      <c r="BD10" s="2">
        <v>3</v>
      </c>
      <c r="BE10" s="2">
        <v>0.4</v>
      </c>
      <c r="BF10" s="2">
        <v>34048</v>
      </c>
      <c r="BG10" s="2">
        <v>3500</v>
      </c>
      <c r="BH10" s="2">
        <v>0</v>
      </c>
      <c r="BI10" s="2">
        <v>1</v>
      </c>
      <c r="BJ10" s="2">
        <v>1</v>
      </c>
      <c r="BK10" s="2">
        <v>1</v>
      </c>
      <c r="BL10" s="2">
        <v>1</v>
      </c>
      <c r="BM10" s="2">
        <v>1</v>
      </c>
      <c r="BN10" s="2">
        <v>1</v>
      </c>
      <c r="BO10" s="2">
        <v>1</v>
      </c>
      <c r="BP10" s="2">
        <v>1</v>
      </c>
      <c r="BQ10" s="2">
        <v>1</v>
      </c>
      <c r="BR10" s="2">
        <v>1</v>
      </c>
      <c r="BS10" s="2">
        <v>1</v>
      </c>
      <c r="BT10" s="2">
        <v>1</v>
      </c>
      <c r="BU10" s="2">
        <v>1</v>
      </c>
      <c r="BV10" s="2">
        <v>1</v>
      </c>
      <c r="BW10" s="2">
        <v>1</v>
      </c>
      <c r="BX10" s="2">
        <v>1</v>
      </c>
      <c r="BY10" s="2">
        <v>1</v>
      </c>
      <c r="BZ10" s="2">
        <v>1</v>
      </c>
      <c r="CA10" s="2">
        <v>1</v>
      </c>
      <c r="CB10" s="2">
        <v>1</v>
      </c>
      <c r="CC10" s="2">
        <v>1</v>
      </c>
      <c r="CD10" s="2">
        <v>1</v>
      </c>
      <c r="CE10" s="2">
        <v>1</v>
      </c>
      <c r="CF10" s="2">
        <v>1</v>
      </c>
      <c r="CG10" s="2">
        <v>1</v>
      </c>
      <c r="CH10" s="2">
        <v>1</v>
      </c>
      <c r="CI10" s="2">
        <v>1</v>
      </c>
      <c r="CJ10" s="2">
        <v>1</v>
      </c>
      <c r="CK10" s="2">
        <v>1</v>
      </c>
      <c r="CL10" s="2">
        <v>1</v>
      </c>
      <c r="CM10" s="2">
        <v>0</v>
      </c>
      <c r="CN10" s="2">
        <v>54.6</v>
      </c>
      <c r="CO10" s="2">
        <v>112</v>
      </c>
      <c r="CP10" s="2">
        <v>94.6</v>
      </c>
      <c r="CQ10" s="2">
        <v>97.016666666666595</v>
      </c>
      <c r="CR10" s="2">
        <v>103.833333333333</v>
      </c>
      <c r="CS10" s="2">
        <v>73.3</v>
      </c>
      <c r="CT10" s="2">
        <v>74.099999999999994</v>
      </c>
      <c r="CU10" s="2">
        <v>0</v>
      </c>
      <c r="CV10" s="2">
        <v>221</v>
      </c>
      <c r="CW10" s="2">
        <v>69.766666666666595</v>
      </c>
      <c r="CX10" s="2">
        <v>0</v>
      </c>
      <c r="CY10" s="2">
        <v>63.1</v>
      </c>
      <c r="CZ10" s="2">
        <v>0</v>
      </c>
      <c r="DA10" s="2">
        <v>0</v>
      </c>
      <c r="DB10" s="2">
        <v>71.7</v>
      </c>
      <c r="DC10" s="2">
        <v>60.15</v>
      </c>
      <c r="DD10" s="2">
        <v>60.15</v>
      </c>
      <c r="DE10" s="2">
        <v>0</v>
      </c>
      <c r="DF10" s="2">
        <v>0</v>
      </c>
      <c r="DG10" s="2">
        <v>75.349999999999994</v>
      </c>
      <c r="DH10" s="2">
        <v>95.066666666666606</v>
      </c>
      <c r="DI10" s="2">
        <v>0</v>
      </c>
      <c r="DJ10" s="2">
        <v>100.37</v>
      </c>
      <c r="DK10" s="2">
        <v>0</v>
      </c>
      <c r="DL10" s="2">
        <v>3.0000000000000001E-3</v>
      </c>
      <c r="DM10" s="2">
        <v>1E-3</v>
      </c>
      <c r="DN10" s="2">
        <v>1.6E-2</v>
      </c>
      <c r="DO10" s="2">
        <v>1E-3</v>
      </c>
      <c r="DP10" s="2">
        <v>1E-3</v>
      </c>
      <c r="DQ10" s="2">
        <v>1.6666666666666601E-3</v>
      </c>
      <c r="DR10" s="2">
        <v>3.0000000000000001E-3</v>
      </c>
      <c r="DS10" s="2">
        <v>3.0000000000000001E-3</v>
      </c>
      <c r="DT10" s="2">
        <v>0</v>
      </c>
      <c r="DU10" s="2">
        <v>1E-3</v>
      </c>
      <c r="DV10" s="2">
        <v>3.0000000000000001E-3</v>
      </c>
      <c r="DW10" s="2">
        <v>0</v>
      </c>
      <c r="DX10" s="2">
        <v>1E-3</v>
      </c>
      <c r="DY10" s="2">
        <v>0</v>
      </c>
      <c r="DZ10" s="2">
        <v>0</v>
      </c>
      <c r="EA10" s="2">
        <v>3.0000000000000001E-3</v>
      </c>
      <c r="EB10" s="2">
        <v>2E-3</v>
      </c>
      <c r="EC10" s="2">
        <v>2E-3</v>
      </c>
      <c r="ED10" s="2">
        <v>0</v>
      </c>
      <c r="EE10" s="2">
        <v>0</v>
      </c>
      <c r="EF10" s="2">
        <v>1.6500000000000001E-2</v>
      </c>
      <c r="EG10" s="2">
        <v>1E-3</v>
      </c>
      <c r="EH10" s="2">
        <v>0</v>
      </c>
      <c r="EI10" s="2">
        <v>2.79</v>
      </c>
      <c r="EJ10" s="2">
        <v>0</v>
      </c>
      <c r="EK10" s="2">
        <v>5.9999999999999995E-4</v>
      </c>
      <c r="EL10" s="2">
        <v>1E-4</v>
      </c>
      <c r="EM10" s="2">
        <v>2.875E-3</v>
      </c>
      <c r="EN10" s="2">
        <v>1.5E-3</v>
      </c>
      <c r="EO10" s="2">
        <v>1.5E-3</v>
      </c>
      <c r="EP10" s="2">
        <v>7.3333333333333302E-4</v>
      </c>
      <c r="EQ10" s="2">
        <v>5.9999999999999995E-4</v>
      </c>
      <c r="ER10" s="2">
        <v>5.9999999999999995E-4</v>
      </c>
      <c r="ES10" s="2">
        <v>0</v>
      </c>
      <c r="ET10" s="2">
        <v>1E-4</v>
      </c>
      <c r="EU10" s="2">
        <v>5.9999999999999995E-4</v>
      </c>
      <c r="EV10" s="2">
        <v>0</v>
      </c>
      <c r="EW10" s="2">
        <v>1E-4</v>
      </c>
      <c r="EX10" s="2">
        <v>0</v>
      </c>
      <c r="EY10" s="2">
        <v>0</v>
      </c>
      <c r="EZ10" s="2">
        <v>5.9999999999999995E-4</v>
      </c>
      <c r="FA10" s="2">
        <v>3.5E-4</v>
      </c>
      <c r="FB10" s="2">
        <v>3.5E-4</v>
      </c>
      <c r="FC10" s="2">
        <v>0</v>
      </c>
      <c r="FD10" s="2">
        <v>0</v>
      </c>
      <c r="FE10" s="2">
        <v>2.3E-3</v>
      </c>
      <c r="FF10" s="2">
        <v>1.5E-3</v>
      </c>
      <c r="FG10" s="2">
        <v>0</v>
      </c>
      <c r="FH10" s="2">
        <v>9.5899999999999996E-3</v>
      </c>
      <c r="FI10" s="2">
        <v>0</v>
      </c>
      <c r="FJ10" s="8">
        <v>1.6583123951776999E-6</v>
      </c>
      <c r="FK10" s="8">
        <v>8.4498520697110406E-8</v>
      </c>
      <c r="FL10" s="8">
        <v>2.4E-8</v>
      </c>
      <c r="FM10" s="2">
        <v>1.4105270168067501E-4</v>
      </c>
      <c r="FN10" s="8">
        <v>3.23821170194798E-9</v>
      </c>
      <c r="FO10" s="8">
        <v>2.46779253585061E-5</v>
      </c>
      <c r="FP10" s="2">
        <v>5.1415182085719699E-2</v>
      </c>
      <c r="FQ10" s="8">
        <v>4.89277622940513E-6</v>
      </c>
      <c r="FR10" s="2">
        <v>3.99749921826133E-2</v>
      </c>
      <c r="FS10" s="8">
        <v>6.3213623094501506E-11</v>
      </c>
      <c r="FT10" s="8">
        <v>6.3213922517116401E-7</v>
      </c>
      <c r="FU10" s="8">
        <v>2.6021139604446299E-9</v>
      </c>
      <c r="FV10" s="2">
        <v>6.2529992803453897E-3</v>
      </c>
      <c r="FW10" s="2">
        <v>0</v>
      </c>
      <c r="FX10" s="8">
        <v>3.2490625588560901E-6</v>
      </c>
      <c r="FY10" s="2">
        <v>9.2441948549119596E-3</v>
      </c>
      <c r="FZ10" s="2">
        <v>0</v>
      </c>
      <c r="GA10" s="8">
        <v>6.1712669934061603E-5</v>
      </c>
      <c r="GB10" s="2">
        <v>1.02490704319759E-2</v>
      </c>
      <c r="GC10" s="8">
        <v>6.8E-8</v>
      </c>
      <c r="GD10" s="8">
        <v>5.4211433772233295E-7</v>
      </c>
      <c r="GE10" s="2">
        <v>1.40263261984831E-2</v>
      </c>
      <c r="GF10" s="2">
        <v>1.52432705551728E-2</v>
      </c>
      <c r="GG10" s="2">
        <v>1.02176318195558E-2</v>
      </c>
      <c r="GH10" s="2">
        <v>5.1633091233467803E-3</v>
      </c>
      <c r="GI10" s="2">
        <v>2.1213203435596398E-3</v>
      </c>
      <c r="GJ10" s="2">
        <v>0</v>
      </c>
      <c r="GK10" s="2">
        <v>1.87616630392937E-3</v>
      </c>
      <c r="GL10" s="8">
        <v>6.4583997501198804E-7</v>
      </c>
      <c r="GM10" s="8">
        <v>1.52E-5</v>
      </c>
      <c r="GN10" s="8">
        <v>6.2528652183015504E-9</v>
      </c>
      <c r="GO10" s="8">
        <v>1.395E-6</v>
      </c>
      <c r="GP10" s="2">
        <v>0</v>
      </c>
      <c r="GQ10" s="8">
        <v>1.82429989565185E-8</v>
      </c>
      <c r="GR10" s="2">
        <v>1.5200000000000001E-4</v>
      </c>
      <c r="GS10" s="2">
        <v>1</v>
      </c>
      <c r="GT10" s="2">
        <v>0</v>
      </c>
      <c r="GU10" s="8">
        <v>8.0000000000000007E-5</v>
      </c>
      <c r="GV10" s="8">
        <v>8.0000000000000007E-5</v>
      </c>
      <c r="GW10" s="2">
        <v>1</v>
      </c>
      <c r="GX10" s="2">
        <v>0</v>
      </c>
      <c r="GY10" s="2">
        <v>1</v>
      </c>
      <c r="GZ10" s="2">
        <v>1</v>
      </c>
      <c r="HA10" s="2">
        <v>0</v>
      </c>
      <c r="HB10" s="2">
        <v>0</v>
      </c>
      <c r="HC10" s="8">
        <v>2.0000000000000002E-5</v>
      </c>
      <c r="HD10" s="2">
        <v>1</v>
      </c>
      <c r="HE10" s="2">
        <v>1</v>
      </c>
      <c r="HF10" s="2">
        <v>1</v>
      </c>
      <c r="HG10" s="2">
        <v>1</v>
      </c>
      <c r="HH10" s="2">
        <v>1</v>
      </c>
      <c r="HI10" s="2">
        <v>1</v>
      </c>
      <c r="HJ10" s="2">
        <v>0</v>
      </c>
      <c r="HK10" s="2">
        <v>1</v>
      </c>
      <c r="HL10" s="2">
        <v>0</v>
      </c>
      <c r="HM10" s="8">
        <v>1.9999999999999999E-6</v>
      </c>
      <c r="HN10" s="8">
        <v>4.0000000000000001E-8</v>
      </c>
      <c r="HO10" s="2">
        <v>1</v>
      </c>
      <c r="HP10" s="2">
        <v>0</v>
      </c>
      <c r="HQ10" s="2">
        <v>0</v>
      </c>
      <c r="HR10" s="8">
        <v>5.9999999999999997E-7</v>
      </c>
      <c r="HS10" s="2">
        <v>1</v>
      </c>
      <c r="HT10" s="2">
        <v>1</v>
      </c>
      <c r="HU10" s="2">
        <v>0</v>
      </c>
      <c r="HV10" s="2">
        <v>0</v>
      </c>
      <c r="HW10" s="8">
        <v>7.9999999999999996E-6</v>
      </c>
      <c r="HX10" s="2">
        <v>1</v>
      </c>
      <c r="HY10" s="2">
        <v>0</v>
      </c>
      <c r="HZ10" s="2">
        <v>2.0000000000000001E-4</v>
      </c>
      <c r="IA10" s="2">
        <v>0</v>
      </c>
      <c r="IB10" s="2">
        <v>1</v>
      </c>
      <c r="IC10" s="2">
        <v>0</v>
      </c>
      <c r="ID10" s="8">
        <v>1.9999999999999999E-6</v>
      </c>
      <c r="IE10" s="2">
        <v>0</v>
      </c>
      <c r="IF10" s="2">
        <v>0</v>
      </c>
      <c r="IG10" s="2">
        <v>0</v>
      </c>
      <c r="IH10" s="2">
        <v>1</v>
      </c>
      <c r="II10" s="2">
        <v>1</v>
      </c>
      <c r="IJ10" s="2">
        <v>0</v>
      </c>
      <c r="IK10" s="2">
        <v>0</v>
      </c>
      <c r="IL10" s="2">
        <v>1.16E-3</v>
      </c>
      <c r="IM10" s="2">
        <v>1.7357142857142799E-4</v>
      </c>
      <c r="IN10" s="2">
        <v>3.9654299999999998E-3</v>
      </c>
      <c r="IO10" s="2">
        <v>1</v>
      </c>
      <c r="IP10" s="2">
        <v>1</v>
      </c>
      <c r="IQ10" s="2">
        <v>0</v>
      </c>
      <c r="IR10" s="2">
        <v>0</v>
      </c>
      <c r="IS10" s="2">
        <v>1</v>
      </c>
      <c r="IT10" s="2">
        <v>1</v>
      </c>
      <c r="IU10" s="2">
        <v>3.0000000000000001E-3</v>
      </c>
      <c r="IV10" s="8">
        <v>3.0000000000000001E-5</v>
      </c>
      <c r="IW10" s="2">
        <v>3.15</v>
      </c>
      <c r="IX10" s="2">
        <v>3.08</v>
      </c>
      <c r="IY10" s="2">
        <v>0.52</v>
      </c>
      <c r="IZ10" s="2">
        <v>0.848907407407407</v>
      </c>
      <c r="JA10" s="2">
        <v>0.2</v>
      </c>
      <c r="JB10" s="2">
        <v>0.75</v>
      </c>
      <c r="JC10" s="2">
        <v>1.8667380952380901</v>
      </c>
      <c r="JD10" s="2">
        <v>1.43807229</v>
      </c>
      <c r="JE10" s="2">
        <v>1</v>
      </c>
      <c r="JF10" s="2">
        <v>3.7409999999999999E-2</v>
      </c>
      <c r="JG10" s="2">
        <v>6.9999999999999999E-4</v>
      </c>
      <c r="JH10" s="2">
        <v>0</v>
      </c>
      <c r="JI10" s="2">
        <v>1E-4</v>
      </c>
      <c r="JJ10" s="2">
        <v>1</v>
      </c>
      <c r="JK10" s="8">
        <v>6.0000000000000002E-6</v>
      </c>
      <c r="JL10" s="8">
        <v>6.0000000000000002E-6</v>
      </c>
      <c r="JM10" s="8">
        <v>6.0000000000000002E-6</v>
      </c>
      <c r="JN10" s="2">
        <v>0.5</v>
      </c>
      <c r="JO10" s="2">
        <v>2</v>
      </c>
      <c r="JP10" s="2">
        <v>13.315</v>
      </c>
      <c r="JQ10" s="2">
        <v>3.71</v>
      </c>
      <c r="JR10" s="2">
        <v>77</v>
      </c>
      <c r="JS10" s="2">
        <v>3.9</v>
      </c>
      <c r="JT10" s="2">
        <v>20.6</v>
      </c>
      <c r="JU10" s="2">
        <v>62</v>
      </c>
      <c r="JV10" s="2">
        <v>350</v>
      </c>
      <c r="JW10" s="2">
        <v>41</v>
      </c>
      <c r="JX10" s="2">
        <v>3.9</v>
      </c>
      <c r="JY10" s="2">
        <v>5.6</v>
      </c>
      <c r="JZ10" s="2">
        <v>0.2</v>
      </c>
      <c r="KA10" s="2">
        <v>3</v>
      </c>
      <c r="KB10" s="2">
        <v>4.1500000000000004</v>
      </c>
      <c r="KC10" s="2">
        <v>350</v>
      </c>
      <c r="KD10" s="2">
        <v>28.6</v>
      </c>
      <c r="KE10" s="2">
        <v>3</v>
      </c>
      <c r="KF10" s="2">
        <v>4.1500000000000004</v>
      </c>
      <c r="KG10" s="2">
        <v>350</v>
      </c>
      <c r="KH10" s="2">
        <v>28.6</v>
      </c>
      <c r="KI10" s="2">
        <v>3</v>
      </c>
      <c r="KJ10" s="2">
        <v>77</v>
      </c>
      <c r="KK10" s="2">
        <v>3.9</v>
      </c>
      <c r="KL10" s="2">
        <v>20.6</v>
      </c>
      <c r="KM10" s="2">
        <v>62</v>
      </c>
      <c r="KN10" s="2">
        <v>350</v>
      </c>
      <c r="KO10" s="2">
        <v>41</v>
      </c>
      <c r="KP10" s="2">
        <v>3.9</v>
      </c>
      <c r="KQ10" s="2">
        <v>5.6</v>
      </c>
      <c r="KR10" s="2">
        <v>0.2</v>
      </c>
      <c r="KS10" s="2">
        <v>3</v>
      </c>
      <c r="KT10" s="2">
        <v>77</v>
      </c>
      <c r="KU10" s="2">
        <v>3.9</v>
      </c>
      <c r="KV10" s="2">
        <v>20.6</v>
      </c>
      <c r="KW10" s="2">
        <v>62</v>
      </c>
      <c r="KX10" s="2">
        <v>350</v>
      </c>
      <c r="KY10" s="2">
        <v>41</v>
      </c>
      <c r="KZ10" s="2">
        <v>3.9</v>
      </c>
      <c r="LA10" s="2">
        <v>5.6</v>
      </c>
      <c r="LB10" s="2">
        <v>0.2</v>
      </c>
      <c r="LC10" s="2">
        <v>3</v>
      </c>
      <c r="LD10" s="2">
        <v>18</v>
      </c>
      <c r="LE10" s="2">
        <v>3.9</v>
      </c>
      <c r="LF10" s="2">
        <v>20.6</v>
      </c>
      <c r="LG10" s="2">
        <v>62</v>
      </c>
      <c r="LH10" s="2">
        <v>41</v>
      </c>
      <c r="LI10" s="2">
        <v>3.9</v>
      </c>
      <c r="LJ10" s="2">
        <v>5.6</v>
      </c>
      <c r="LK10" s="2">
        <v>0.2</v>
      </c>
      <c r="LL10" s="2">
        <v>7</v>
      </c>
      <c r="LM10" s="2">
        <v>350</v>
      </c>
      <c r="LN10" s="2">
        <v>2</v>
      </c>
      <c r="LO10" s="2">
        <v>3</v>
      </c>
      <c r="LP10" s="2">
        <v>0.95</v>
      </c>
      <c r="LQ10" s="2">
        <v>0.8</v>
      </c>
      <c r="LR10" s="2">
        <v>0.8</v>
      </c>
      <c r="LS10" s="2">
        <v>0.6</v>
      </c>
      <c r="LT10" s="2">
        <v>0.78</v>
      </c>
      <c r="LU10" s="2">
        <v>0.6</v>
      </c>
      <c r="LV10" s="2">
        <v>0.82</v>
      </c>
      <c r="LW10" s="2">
        <v>3.2</v>
      </c>
      <c r="LX10" s="2">
        <v>0.8</v>
      </c>
      <c r="LY10" s="2">
        <v>0.85</v>
      </c>
      <c r="LZ10" s="2">
        <v>0.75</v>
      </c>
      <c r="MA10" s="2">
        <v>0.8</v>
      </c>
      <c r="MB10" s="2">
        <v>0.8</v>
      </c>
      <c r="MC10" s="2">
        <v>0.8</v>
      </c>
      <c r="MD10" s="2">
        <v>0.82</v>
      </c>
      <c r="ME10" s="2">
        <v>0.2</v>
      </c>
      <c r="MF10" s="2">
        <v>0.33500000000000002</v>
      </c>
      <c r="MG10" s="2">
        <v>0.14000000000000001</v>
      </c>
      <c r="MH10" s="2">
        <v>0.45</v>
      </c>
      <c r="MI10" s="2">
        <v>0.45</v>
      </c>
      <c r="MJ10" s="2">
        <v>0.4</v>
      </c>
      <c r="MK10" s="2">
        <v>0.4</v>
      </c>
      <c r="ML10" s="2">
        <v>1</v>
      </c>
      <c r="MM10" s="2">
        <v>0.85499999999999998</v>
      </c>
      <c r="MN10" s="2">
        <v>2.7000000000000001E-3</v>
      </c>
      <c r="MO10" s="2">
        <v>1</v>
      </c>
      <c r="MP10" s="2">
        <v>0.22</v>
      </c>
      <c r="MQ10" s="2">
        <v>0.23</v>
      </c>
      <c r="MR10" s="2">
        <v>0.22</v>
      </c>
      <c r="MS10" s="2">
        <v>0.4</v>
      </c>
      <c r="MT10" s="2">
        <v>0.8</v>
      </c>
      <c r="MU10" s="2">
        <v>0.75</v>
      </c>
      <c r="MV10" s="2">
        <v>0.85</v>
      </c>
      <c r="MW10" s="2">
        <v>0.75</v>
      </c>
      <c r="MX10" s="2">
        <v>0.6</v>
      </c>
      <c r="MY10" s="2">
        <v>0.82</v>
      </c>
      <c r="MZ10" s="2">
        <v>0.98</v>
      </c>
      <c r="NA10" s="2">
        <v>0.75</v>
      </c>
      <c r="NB10" s="2">
        <v>0.75</v>
      </c>
      <c r="NC10" s="2">
        <v>0.8</v>
      </c>
      <c r="ND10" s="2">
        <v>0.82</v>
      </c>
      <c r="NE10" s="2">
        <v>0.8</v>
      </c>
      <c r="NF10" s="2">
        <v>0.7</v>
      </c>
      <c r="NG10" s="2">
        <v>0.6</v>
      </c>
      <c r="NH10" s="2">
        <v>0.75</v>
      </c>
      <c r="NI10" s="2">
        <v>2.4</v>
      </c>
      <c r="NJ10" s="2">
        <v>0.75</v>
      </c>
      <c r="NK10" s="2">
        <v>0.75</v>
      </c>
      <c r="NL10" s="2">
        <v>0.8</v>
      </c>
      <c r="NM10" s="2">
        <v>0.75</v>
      </c>
      <c r="NN10" s="2">
        <v>0.8</v>
      </c>
      <c r="NO10" s="2">
        <v>0.64</v>
      </c>
      <c r="NP10" s="2">
        <v>0.6</v>
      </c>
      <c r="NQ10" s="2">
        <v>0.75</v>
      </c>
      <c r="NR10" s="2">
        <v>3.2</v>
      </c>
      <c r="NS10" s="2">
        <v>0.75</v>
      </c>
      <c r="NT10" s="2">
        <v>0.75</v>
      </c>
      <c r="NU10" s="2">
        <v>0.8</v>
      </c>
      <c r="NV10" s="2">
        <v>0.6</v>
      </c>
      <c r="NW10" s="2">
        <v>0.8</v>
      </c>
      <c r="NX10" s="2">
        <v>0.1</v>
      </c>
      <c r="OY10" s="2">
        <v>0.13300000000000001</v>
      </c>
      <c r="OZ10" s="2">
        <v>50</v>
      </c>
      <c r="PA10" s="2">
        <v>1.3376999999999999</v>
      </c>
      <c r="PB10" s="2">
        <v>1.3368169646517301E-2</v>
      </c>
      <c r="PC10" s="2">
        <v>6.1813186813186802E-2</v>
      </c>
      <c r="PD10" s="2">
        <v>0.95550000000000002</v>
      </c>
      <c r="PE10" s="2">
        <v>0</v>
      </c>
      <c r="PF10" s="2">
        <v>5</v>
      </c>
      <c r="PG10" s="2">
        <v>2.4500000000000001E-2</v>
      </c>
      <c r="PI10" s="2">
        <v>8</v>
      </c>
      <c r="PJ10" s="2">
        <v>28.95</v>
      </c>
      <c r="PK10" s="2">
        <v>2.8000000000000001E-2</v>
      </c>
      <c r="PL10" s="2">
        <v>3.9</v>
      </c>
      <c r="PM10" s="2">
        <v>22.5</v>
      </c>
      <c r="PN10" s="2">
        <v>22.96</v>
      </c>
      <c r="PO10" s="2">
        <v>38</v>
      </c>
      <c r="PP10" s="2">
        <v>36.4</v>
      </c>
      <c r="PQ10" s="2">
        <v>3.5000000000000001E-3</v>
      </c>
      <c r="PR10" s="2">
        <v>35</v>
      </c>
      <c r="PS10" s="2">
        <v>3.8300000000000001E-2</v>
      </c>
      <c r="PT10" s="2">
        <v>8</v>
      </c>
      <c r="PU10" s="2">
        <v>32</v>
      </c>
      <c r="PV10" s="2">
        <v>3.8300000000000001E-2</v>
      </c>
      <c r="PW10" s="2">
        <v>38</v>
      </c>
      <c r="PX10" s="2">
        <v>30.58</v>
      </c>
      <c r="PY10" s="2">
        <v>13</v>
      </c>
      <c r="PZ10" s="2">
        <v>23.64</v>
      </c>
      <c r="QA10" s="2">
        <v>26.28</v>
      </c>
      <c r="QB10" s="5">
        <v>48</v>
      </c>
      <c r="QC10" s="2">
        <v>130.739</v>
      </c>
      <c r="QD10" s="2">
        <v>79810000</v>
      </c>
      <c r="QE10" s="2">
        <v>8</v>
      </c>
      <c r="QF10" s="2">
        <v>3</v>
      </c>
      <c r="QG10" s="2">
        <v>2</v>
      </c>
      <c r="QH10" s="2">
        <v>2</v>
      </c>
      <c r="QI10" s="2">
        <v>1</v>
      </c>
      <c r="QJ10" s="2">
        <v>0.5</v>
      </c>
      <c r="QK10" s="2">
        <v>0.25</v>
      </c>
      <c r="QL10" s="2">
        <v>0.5</v>
      </c>
      <c r="QM10" s="2">
        <v>1</v>
      </c>
      <c r="QN10" s="2">
        <v>0.5</v>
      </c>
      <c r="QO10" s="2">
        <v>0.2</v>
      </c>
      <c r="QP10" s="2">
        <v>0.2</v>
      </c>
      <c r="QQ10" s="2">
        <v>0.8</v>
      </c>
      <c r="QR10" s="2">
        <v>1.18527760449157E-2</v>
      </c>
      <c r="QS10" s="2">
        <v>9.9812850904553892E-3</v>
      </c>
      <c r="QT10" s="2">
        <v>0.97816593886462799</v>
      </c>
      <c r="QU10" s="2">
        <v>0.19</v>
      </c>
      <c r="QV10" s="2">
        <v>0.13700000000000001</v>
      </c>
      <c r="QW10" s="2">
        <v>0.30299999999999999</v>
      </c>
      <c r="QX10" s="2">
        <v>0</v>
      </c>
      <c r="QY10" s="2">
        <v>0.216</v>
      </c>
      <c r="QZ10" s="2">
        <v>0.1</v>
      </c>
      <c r="RA10" s="2">
        <v>2.5000000000000001E-2</v>
      </c>
      <c r="RB10" s="2">
        <v>0.05</v>
      </c>
      <c r="RC10" s="2">
        <v>0.2</v>
      </c>
      <c r="RD10" s="2">
        <v>0.04</v>
      </c>
      <c r="RE10" s="2">
        <v>0</v>
      </c>
      <c r="RF10" s="2">
        <v>0</v>
      </c>
      <c r="RG10" s="2">
        <v>7.4999999999999997E-2</v>
      </c>
      <c r="RH10" s="2">
        <v>-999</v>
      </c>
      <c r="RI10" s="2">
        <v>-999</v>
      </c>
      <c r="RJ10" s="2">
        <v>-999</v>
      </c>
      <c r="RK10" s="2">
        <v>-999</v>
      </c>
      <c r="RL10" s="2">
        <v>-999</v>
      </c>
      <c r="RM10" s="2">
        <v>-999</v>
      </c>
      <c r="RN10" s="2">
        <v>-999</v>
      </c>
      <c r="RO10" s="2">
        <v>-999</v>
      </c>
      <c r="RP10" s="2">
        <v>-999</v>
      </c>
      <c r="RQ10" s="2">
        <v>-999</v>
      </c>
      <c r="RR10" s="2">
        <v>-999</v>
      </c>
      <c r="RS10" s="2">
        <v>-999</v>
      </c>
      <c r="RT10" s="2">
        <v>-999</v>
      </c>
      <c r="RU10" s="2">
        <v>-999</v>
      </c>
      <c r="RV10" s="2">
        <v>8.6999999999999994E-2</v>
      </c>
      <c r="RW10" s="2">
        <v>8.6999999999999994E-2</v>
      </c>
      <c r="RX10" s="2">
        <v>0</v>
      </c>
      <c r="RZ10" s="2">
        <v>0</v>
      </c>
      <c r="SA10" s="2">
        <v>0</v>
      </c>
      <c r="SB10" s="2">
        <v>0.31</v>
      </c>
      <c r="SC10" s="2">
        <v>0.03</v>
      </c>
      <c r="SD10" s="2">
        <v>0</v>
      </c>
      <c r="SE10" s="2">
        <v>0.31</v>
      </c>
      <c r="SF10" s="2">
        <v>0</v>
      </c>
      <c r="SG10" s="2">
        <v>0</v>
      </c>
      <c r="SH10" s="2">
        <v>0.32</v>
      </c>
      <c r="SI10" s="2">
        <v>0</v>
      </c>
      <c r="SJ10" s="2">
        <v>0</v>
      </c>
      <c r="SK10" s="2">
        <v>0.03</v>
      </c>
      <c r="SL10" s="2">
        <v>0</v>
      </c>
      <c r="SM10" s="2">
        <v>0.67</v>
      </c>
      <c r="SN10" s="2">
        <v>0</v>
      </c>
      <c r="SO10" s="2">
        <v>0.01</v>
      </c>
      <c r="SP10" s="2">
        <v>0.3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0.02</v>
      </c>
      <c r="SY10" s="2">
        <v>0</v>
      </c>
      <c r="SZ10" s="2">
        <v>0</v>
      </c>
      <c r="TA10" s="2">
        <v>0</v>
      </c>
      <c r="TB10" s="2">
        <v>0.01</v>
      </c>
      <c r="TC10" s="2">
        <v>0.38</v>
      </c>
      <c r="TD10" s="2">
        <v>0</v>
      </c>
      <c r="TE10" s="2">
        <v>0</v>
      </c>
      <c r="TF10" s="2">
        <v>0</v>
      </c>
      <c r="TG10" s="2">
        <v>0</v>
      </c>
      <c r="TH10" s="2">
        <v>0</v>
      </c>
      <c r="TI10" s="2">
        <v>0</v>
      </c>
      <c r="TJ10" s="2">
        <v>0.6</v>
      </c>
      <c r="TK10" s="2">
        <v>0.01</v>
      </c>
      <c r="TL10" s="2">
        <v>0</v>
      </c>
      <c r="TM10" s="2">
        <v>0</v>
      </c>
      <c r="TN10" s="2">
        <v>0</v>
      </c>
      <c r="TO10" s="2">
        <v>0.11</v>
      </c>
      <c r="TP10" s="2">
        <v>0.88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0.01</v>
      </c>
      <c r="TY10" s="2">
        <v>0</v>
      </c>
      <c r="TZ10" s="2">
        <v>0</v>
      </c>
      <c r="UA10" s="2">
        <v>0</v>
      </c>
      <c r="UB10" s="2">
        <v>0.01</v>
      </c>
      <c r="UC10" s="2">
        <v>0.22900000000000001</v>
      </c>
      <c r="UD10" s="2">
        <v>0</v>
      </c>
      <c r="UE10" s="2">
        <v>0</v>
      </c>
      <c r="UF10" s="2">
        <v>0</v>
      </c>
      <c r="UG10" s="2">
        <v>0</v>
      </c>
      <c r="UH10" s="2">
        <v>0</v>
      </c>
      <c r="UI10" s="2">
        <v>0</v>
      </c>
      <c r="UJ10" s="2">
        <v>0.76</v>
      </c>
      <c r="UK10" s="2">
        <v>1E-3</v>
      </c>
      <c r="UL10" s="2">
        <v>0</v>
      </c>
      <c r="UM10" s="2">
        <v>0</v>
      </c>
      <c r="UN10" s="2">
        <v>0.4</v>
      </c>
      <c r="UO10" s="2">
        <v>0</v>
      </c>
      <c r="UP10" s="2">
        <v>0</v>
      </c>
      <c r="UQ10" s="2">
        <v>0</v>
      </c>
      <c r="UR10" s="2">
        <v>0</v>
      </c>
      <c r="US10" s="2">
        <v>0</v>
      </c>
      <c r="UT10" s="2">
        <v>0</v>
      </c>
      <c r="UU10" s="2">
        <v>0</v>
      </c>
      <c r="UV10" s="2">
        <v>0.2</v>
      </c>
      <c r="UW10" s="2">
        <v>0</v>
      </c>
      <c r="UX10" s="2">
        <v>0</v>
      </c>
      <c r="UY10" s="2">
        <v>1.2E-2</v>
      </c>
      <c r="UZ10" s="2">
        <v>0</v>
      </c>
      <c r="VA10" s="2">
        <v>0</v>
      </c>
      <c r="VB10" s="2">
        <v>0.11899999999999999</v>
      </c>
      <c r="VC10" s="2">
        <v>0.73</v>
      </c>
      <c r="VE10" s="2">
        <v>0</v>
      </c>
      <c r="VF10" s="2">
        <v>0</v>
      </c>
      <c r="VG10" s="2">
        <v>0</v>
      </c>
      <c r="VH10" s="2">
        <v>0</v>
      </c>
      <c r="VJ10" s="2">
        <v>0.15</v>
      </c>
      <c r="VK10" s="2">
        <v>1E-3</v>
      </c>
      <c r="VL10" s="2">
        <v>0</v>
      </c>
      <c r="VM10" s="2">
        <v>0</v>
      </c>
      <c r="VN10" s="2">
        <v>0</v>
      </c>
      <c r="VO10" s="2">
        <v>0.21</v>
      </c>
      <c r="VP10" s="2">
        <v>0.78</v>
      </c>
      <c r="VQ10" s="2">
        <v>0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X10" s="2">
        <v>0</v>
      </c>
      <c r="VY10" s="2">
        <v>0.01</v>
      </c>
      <c r="VZ10" s="2">
        <v>0</v>
      </c>
      <c r="WA10" s="2">
        <v>0</v>
      </c>
      <c r="WB10" s="2">
        <v>0</v>
      </c>
      <c r="WC10" s="2">
        <v>0.05</v>
      </c>
      <c r="WD10" s="2">
        <v>0.11</v>
      </c>
      <c r="WE10" s="2">
        <v>0</v>
      </c>
      <c r="WF10" s="2">
        <v>0</v>
      </c>
      <c r="WG10" s="2">
        <v>0</v>
      </c>
      <c r="WH10" s="2">
        <v>0</v>
      </c>
      <c r="WI10" s="2">
        <v>0</v>
      </c>
      <c r="WJ10" s="2">
        <v>0</v>
      </c>
      <c r="WK10" s="2">
        <v>0</v>
      </c>
      <c r="WL10" s="2">
        <v>1E-3</v>
      </c>
      <c r="WM10" s="2">
        <v>0.83899999999999997</v>
      </c>
      <c r="WN10" s="2">
        <v>0</v>
      </c>
      <c r="WO10" s="2">
        <v>0</v>
      </c>
      <c r="WP10" s="2">
        <v>0</v>
      </c>
      <c r="WQ10" s="2">
        <v>0.26</v>
      </c>
      <c r="WR10" s="2">
        <v>0</v>
      </c>
      <c r="WS10" s="2">
        <v>0</v>
      </c>
      <c r="WT10" s="2">
        <v>0</v>
      </c>
      <c r="WU10" s="2">
        <v>0</v>
      </c>
      <c r="WV10" s="2">
        <v>0</v>
      </c>
      <c r="WW10" s="2">
        <v>0</v>
      </c>
      <c r="WX10" s="2">
        <v>0</v>
      </c>
      <c r="WY10" s="2">
        <v>0.01</v>
      </c>
      <c r="WZ10" s="2">
        <v>0.73</v>
      </c>
      <c r="XA10" s="2">
        <v>0</v>
      </c>
      <c r="XB10" s="2">
        <v>0</v>
      </c>
      <c r="XC10" s="2">
        <v>0</v>
      </c>
      <c r="XD10" s="2">
        <v>0.44</v>
      </c>
      <c r="XE10" s="2">
        <v>0</v>
      </c>
      <c r="XF10" s="2">
        <v>0</v>
      </c>
      <c r="XG10" s="2">
        <v>0</v>
      </c>
      <c r="XH10" s="2">
        <v>0</v>
      </c>
      <c r="XI10" s="2">
        <v>0</v>
      </c>
      <c r="XJ10" s="2">
        <v>0</v>
      </c>
      <c r="XK10" s="2">
        <v>0.4</v>
      </c>
      <c r="XL10" s="2">
        <v>0.01</v>
      </c>
      <c r="XM10" s="2">
        <v>0.15</v>
      </c>
      <c r="XN10" s="2">
        <v>0</v>
      </c>
      <c r="XO10" s="2">
        <v>0</v>
      </c>
      <c r="XP10" s="2">
        <v>0</v>
      </c>
      <c r="XQ10" s="2">
        <v>0.2</v>
      </c>
      <c r="XR10" s="2">
        <v>0</v>
      </c>
      <c r="XS10" s="2">
        <v>0</v>
      </c>
      <c r="XT10" s="2">
        <v>0</v>
      </c>
      <c r="XU10" s="2">
        <v>0</v>
      </c>
      <c r="XV10" s="2">
        <v>0</v>
      </c>
      <c r="XW10" s="2">
        <v>0.1</v>
      </c>
      <c r="XX10" s="2">
        <v>0.63</v>
      </c>
      <c r="XY10" s="2">
        <v>7.0000000000000007E-2</v>
      </c>
      <c r="XZ10" s="2">
        <v>0</v>
      </c>
      <c r="YA10" s="2">
        <v>0</v>
      </c>
      <c r="YB10" s="2">
        <v>0</v>
      </c>
      <c r="YC10" s="2">
        <v>0.11899999999999999</v>
      </c>
      <c r="YD10" s="2">
        <v>0.73</v>
      </c>
      <c r="YF10" s="2">
        <v>0</v>
      </c>
      <c r="YG10" s="2">
        <v>0</v>
      </c>
      <c r="YH10" s="2">
        <v>0</v>
      </c>
      <c r="YI10" s="2">
        <v>0</v>
      </c>
      <c r="YK10" s="2">
        <v>0.15</v>
      </c>
      <c r="YL10" s="2">
        <v>1E-3</v>
      </c>
      <c r="YM10" s="2">
        <v>0</v>
      </c>
      <c r="YN10" s="2">
        <v>0</v>
      </c>
      <c r="YO10" s="2">
        <v>0</v>
      </c>
      <c r="YP10" s="2">
        <v>0</v>
      </c>
      <c r="YQ10" s="2">
        <v>0.26</v>
      </c>
      <c r="YR10" s="2">
        <v>0</v>
      </c>
      <c r="YS10" s="2">
        <v>0</v>
      </c>
      <c r="YT10" s="2">
        <v>0</v>
      </c>
      <c r="YU10" s="2">
        <v>0</v>
      </c>
      <c r="YV10" s="2">
        <v>0</v>
      </c>
      <c r="YW10" s="2">
        <v>0</v>
      </c>
      <c r="YX10" s="2">
        <v>0</v>
      </c>
      <c r="YY10" s="2">
        <v>0.01</v>
      </c>
      <c r="YZ10" s="2">
        <v>0.73</v>
      </c>
      <c r="ZA10" s="2">
        <v>0</v>
      </c>
      <c r="ZB10" s="2">
        <v>0</v>
      </c>
      <c r="ZC10" s="2">
        <v>0</v>
      </c>
      <c r="ZD10" s="2">
        <v>0.44</v>
      </c>
      <c r="ZE10" s="2">
        <v>0</v>
      </c>
      <c r="ZF10" s="2">
        <v>0</v>
      </c>
      <c r="ZG10" s="2">
        <v>0</v>
      </c>
      <c r="ZH10" s="2">
        <v>0</v>
      </c>
      <c r="ZI10" s="2">
        <v>0</v>
      </c>
      <c r="ZJ10" s="2">
        <v>0</v>
      </c>
      <c r="ZK10" s="2">
        <v>0.4</v>
      </c>
      <c r="ZL10" s="2">
        <v>0.01</v>
      </c>
      <c r="ZM10" s="2">
        <v>0.15</v>
      </c>
      <c r="ZN10" s="2">
        <v>0</v>
      </c>
      <c r="ZO10" s="2">
        <v>0</v>
      </c>
      <c r="ZP10" s="2">
        <v>0.01</v>
      </c>
      <c r="ZQ10" s="2">
        <v>0.45</v>
      </c>
      <c r="ZR10" s="2">
        <v>0</v>
      </c>
      <c r="ZS10" s="2">
        <v>0</v>
      </c>
      <c r="ZT10" s="2">
        <v>0</v>
      </c>
      <c r="ZU10" s="2">
        <v>0</v>
      </c>
      <c r="ZV10" s="2">
        <v>0</v>
      </c>
      <c r="ZW10" s="2">
        <v>0</v>
      </c>
      <c r="ZX10" s="2">
        <v>0.14000000000000001</v>
      </c>
      <c r="ZY10" s="2">
        <v>1.6E-2</v>
      </c>
      <c r="ZZ10" s="2">
        <v>0.38400000000000001</v>
      </c>
      <c r="AAA10" s="2">
        <v>0.1</v>
      </c>
      <c r="AAB10" s="2">
        <v>0</v>
      </c>
      <c r="AAC10" s="2">
        <v>0.01</v>
      </c>
      <c r="AAD10" s="2">
        <v>0.38</v>
      </c>
      <c r="AAE10" s="2">
        <v>0</v>
      </c>
      <c r="AAF10" s="2">
        <v>0</v>
      </c>
      <c r="AAG10" s="2">
        <v>0</v>
      </c>
      <c r="AAH10" s="2">
        <v>0</v>
      </c>
      <c r="AAI10" s="2">
        <v>0</v>
      </c>
      <c r="AAJ10" s="2">
        <v>0</v>
      </c>
      <c r="AAK10" s="2">
        <v>6.9000000000000006E-2</v>
      </c>
      <c r="AAL10" s="2">
        <v>1E-3</v>
      </c>
      <c r="AAM10" s="2">
        <v>0.44</v>
      </c>
      <c r="AAN10" s="2">
        <v>0</v>
      </c>
      <c r="AAO10" s="2">
        <v>0</v>
      </c>
      <c r="AAP10" s="2">
        <v>0</v>
      </c>
      <c r="AAQ10" s="2">
        <v>0.12</v>
      </c>
      <c r="AAR10" s="2">
        <v>0</v>
      </c>
      <c r="AAS10" s="2">
        <v>0</v>
      </c>
      <c r="AAT10" s="2">
        <v>0</v>
      </c>
      <c r="AAU10" s="2">
        <v>0</v>
      </c>
      <c r="AAV10" s="2">
        <v>0</v>
      </c>
      <c r="AAW10" s="2">
        <v>0</v>
      </c>
      <c r="AAX10" s="2">
        <v>0.18</v>
      </c>
      <c r="AAY10" s="2">
        <v>0.01</v>
      </c>
      <c r="AAZ10" s="2">
        <v>0.69</v>
      </c>
      <c r="ABA10" s="2">
        <v>0</v>
      </c>
      <c r="ABB10" s="2">
        <v>0</v>
      </c>
      <c r="ABC10" s="2">
        <v>0.01</v>
      </c>
      <c r="ABD10" s="2">
        <v>0.45</v>
      </c>
      <c r="ABE10" s="2">
        <v>0</v>
      </c>
      <c r="ABF10" s="2">
        <v>0</v>
      </c>
      <c r="ABG10" s="2">
        <v>0</v>
      </c>
      <c r="ABH10" s="2">
        <v>0</v>
      </c>
      <c r="ABI10" s="2">
        <v>0</v>
      </c>
      <c r="ABJ10" s="2">
        <v>0</v>
      </c>
      <c r="ABK10" s="2">
        <v>0.14000000000000001</v>
      </c>
      <c r="ABL10" s="2">
        <v>1.6E-2</v>
      </c>
      <c r="ABM10" s="2">
        <v>0.38400000000000001</v>
      </c>
      <c r="ABN10" s="2">
        <v>0.1</v>
      </c>
      <c r="ABO10" s="2">
        <v>0</v>
      </c>
      <c r="ABP10" s="2">
        <v>0.01</v>
      </c>
      <c r="ABQ10" s="2">
        <v>0.38</v>
      </c>
      <c r="ABR10" s="2">
        <v>0</v>
      </c>
      <c r="ABS10" s="2">
        <v>0</v>
      </c>
      <c r="ABT10" s="2">
        <v>0</v>
      </c>
      <c r="ABU10" s="2">
        <v>0</v>
      </c>
      <c r="ABV10" s="2">
        <v>0</v>
      </c>
      <c r="ABW10" s="2">
        <v>0</v>
      </c>
      <c r="ABX10" s="2">
        <v>6.9000000000000006E-2</v>
      </c>
      <c r="ABY10" s="2">
        <v>1E-3</v>
      </c>
      <c r="ABZ10" s="2">
        <v>0.44</v>
      </c>
      <c r="ACA10" s="2">
        <v>0</v>
      </c>
      <c r="ACB10" s="2">
        <v>0</v>
      </c>
      <c r="ACC10" s="2">
        <v>0</v>
      </c>
      <c r="ACD10" s="2">
        <v>0.12</v>
      </c>
      <c r="ACE10" s="2">
        <v>0</v>
      </c>
      <c r="ACF10" s="2">
        <v>0</v>
      </c>
      <c r="ACG10" s="2">
        <v>0</v>
      </c>
      <c r="ACH10" s="2">
        <v>0</v>
      </c>
      <c r="ACI10" s="2">
        <v>0</v>
      </c>
      <c r="ACJ10" s="2">
        <v>0</v>
      </c>
      <c r="ACK10" s="2">
        <v>0.18</v>
      </c>
      <c r="ACL10" s="2">
        <v>0.01</v>
      </c>
      <c r="ACM10" s="2">
        <v>0.69</v>
      </c>
      <c r="ACU10" s="2">
        <v>0</v>
      </c>
      <c r="ACV10" s="2">
        <v>0</v>
      </c>
      <c r="ACW10" s="2">
        <v>0.8</v>
      </c>
      <c r="ACX10" s="2">
        <v>0</v>
      </c>
      <c r="ACY10" s="2">
        <v>0</v>
      </c>
      <c r="ACZ10" s="2">
        <v>0</v>
      </c>
      <c r="ADA10" s="2">
        <v>0</v>
      </c>
      <c r="ADB10" s="2">
        <v>0.19</v>
      </c>
      <c r="ADC10" s="2">
        <v>0.01</v>
      </c>
      <c r="ADD10" s="2">
        <v>0</v>
      </c>
      <c r="ADE10" s="2">
        <v>0</v>
      </c>
      <c r="ADF10" s="2">
        <v>1</v>
      </c>
      <c r="ADG10" s="2">
        <v>0</v>
      </c>
      <c r="ADH10" s="2">
        <v>0</v>
      </c>
      <c r="ADI10" s="2">
        <v>0</v>
      </c>
      <c r="ADJ10" s="2">
        <v>0</v>
      </c>
      <c r="ADK10" s="2">
        <v>0</v>
      </c>
      <c r="ADL10" s="2">
        <v>0</v>
      </c>
      <c r="ADM10" s="2">
        <v>0</v>
      </c>
      <c r="ADN10" s="2">
        <v>0</v>
      </c>
      <c r="ADO10" s="2">
        <v>0.28000000000000003</v>
      </c>
      <c r="ADP10" s="2">
        <v>0</v>
      </c>
      <c r="ADQ10" s="2">
        <v>0</v>
      </c>
      <c r="ADR10" s="2">
        <v>0</v>
      </c>
      <c r="ADS10" s="2">
        <v>0.1</v>
      </c>
      <c r="ADT10" s="2">
        <v>0.06</v>
      </c>
      <c r="ADU10" s="2">
        <v>0.56000000000000005</v>
      </c>
      <c r="ADV10" s="2">
        <v>0</v>
      </c>
      <c r="ADW10" s="2">
        <v>0</v>
      </c>
      <c r="ADX10" s="2">
        <v>1</v>
      </c>
      <c r="ADY10" s="2">
        <v>0.1</v>
      </c>
      <c r="ADZ10" s="2">
        <v>0.9</v>
      </c>
      <c r="AEA10" s="2">
        <v>0</v>
      </c>
      <c r="AEB10" s="2">
        <v>1</v>
      </c>
      <c r="AEC10" s="2">
        <v>0</v>
      </c>
      <c r="AED10" s="2">
        <v>0</v>
      </c>
      <c r="AEE10" s="2">
        <v>0</v>
      </c>
      <c r="AEF10" s="2">
        <v>0</v>
      </c>
      <c r="AEG10" s="2">
        <v>0</v>
      </c>
      <c r="AEH10" s="2">
        <v>1</v>
      </c>
      <c r="AEI10" s="2">
        <v>0</v>
      </c>
      <c r="AEJ10" s="2">
        <v>0</v>
      </c>
      <c r="AEK10" s="2">
        <v>0</v>
      </c>
      <c r="AEL10" s="2">
        <v>1</v>
      </c>
      <c r="AEM10" s="2">
        <v>0</v>
      </c>
      <c r="AEN10" s="2">
        <v>0</v>
      </c>
      <c r="AEO10" s="2">
        <v>0</v>
      </c>
      <c r="AEP10" s="2">
        <v>0</v>
      </c>
      <c r="AEQ10" s="2">
        <v>1</v>
      </c>
      <c r="AER10" s="2">
        <v>0</v>
      </c>
      <c r="AES10" s="2">
        <v>0</v>
      </c>
      <c r="AET10" s="2">
        <v>0</v>
      </c>
      <c r="AEU10" s="2">
        <v>0</v>
      </c>
      <c r="AEV10" s="2">
        <v>0</v>
      </c>
      <c r="AEW10" s="2">
        <v>0.01</v>
      </c>
      <c r="AEX10" s="2">
        <v>0</v>
      </c>
      <c r="AEY10" s="2">
        <v>0</v>
      </c>
      <c r="AEZ10" s="2">
        <v>0</v>
      </c>
      <c r="AFA10" s="2">
        <v>0</v>
      </c>
      <c r="AFB10" s="2">
        <v>0</v>
      </c>
      <c r="AFC10" s="2">
        <v>0</v>
      </c>
      <c r="AFD10" s="2">
        <v>0</v>
      </c>
      <c r="AFE10" s="2">
        <v>0.3</v>
      </c>
      <c r="AFF10" s="2">
        <v>0</v>
      </c>
      <c r="AFG10" s="2">
        <v>0.7</v>
      </c>
      <c r="AFH10" s="2">
        <v>0</v>
      </c>
      <c r="AFI10" s="2">
        <v>0</v>
      </c>
      <c r="AFJ10" s="2">
        <v>0</v>
      </c>
      <c r="AFK10" s="2">
        <v>0</v>
      </c>
      <c r="AFL10" s="2">
        <v>0</v>
      </c>
      <c r="AFM10" s="2">
        <v>0</v>
      </c>
      <c r="AGB10" s="2">
        <v>0.37380000000000002</v>
      </c>
      <c r="AGC10" s="2">
        <v>0.26700000000000002</v>
      </c>
      <c r="AGD10" s="2">
        <v>60</v>
      </c>
      <c r="AGE10" s="2">
        <v>3.5</v>
      </c>
      <c r="AGF10" s="2">
        <v>3.8</v>
      </c>
      <c r="AGG10" s="2">
        <v>2.6753999999999998</v>
      </c>
      <c r="AGH10" s="2">
        <v>2.474745</v>
      </c>
      <c r="AGI10" s="2">
        <v>3.746</v>
      </c>
      <c r="AGJ10" s="2">
        <v>3.5</v>
      </c>
      <c r="AGK10" s="2">
        <v>0.28999999999999998</v>
      </c>
      <c r="AGL10" s="2">
        <v>0.10199999999999999</v>
      </c>
      <c r="AGM10" s="2">
        <v>0.1</v>
      </c>
      <c r="AGN10" s="2">
        <v>0.28999999999999998</v>
      </c>
      <c r="AGO10" s="2">
        <v>0.224</v>
      </c>
      <c r="AGP10" s="2">
        <v>0.21</v>
      </c>
      <c r="AGQ10" s="2">
        <v>2.5</v>
      </c>
      <c r="AGR10" s="2">
        <v>3</v>
      </c>
      <c r="AGS10" s="2">
        <v>1.911</v>
      </c>
      <c r="AGT10" s="2">
        <v>1.7676750000000001</v>
      </c>
      <c r="AGU10" s="2">
        <v>0.26800000000000002</v>
      </c>
      <c r="AGV10" s="2">
        <v>2.5</v>
      </c>
      <c r="AGW10" s="2">
        <v>3.5</v>
      </c>
      <c r="AGX10" s="2">
        <v>3.8219999999999898</v>
      </c>
      <c r="AGY10" s="2">
        <v>2.6753999999999998</v>
      </c>
      <c r="AGZ10" s="2">
        <v>2.474745</v>
      </c>
      <c r="AHA10" s="2">
        <v>3.746</v>
      </c>
      <c r="AHB10" s="2">
        <v>3.5</v>
      </c>
      <c r="AHC10" s="2">
        <v>11</v>
      </c>
      <c r="AHD10" s="2">
        <v>13</v>
      </c>
      <c r="AHE10" s="2">
        <v>16</v>
      </c>
      <c r="AHF10" s="2">
        <v>9.25</v>
      </c>
      <c r="AHG10" s="2">
        <v>14</v>
      </c>
      <c r="AHH10" s="2">
        <v>7.0000000000000007E-2</v>
      </c>
      <c r="AHI10" s="2">
        <v>1.02</v>
      </c>
      <c r="AHJ10" s="2">
        <v>0.1</v>
      </c>
      <c r="AHK10" s="2">
        <v>0</v>
      </c>
      <c r="AHL10" s="2">
        <v>0</v>
      </c>
      <c r="AHM10" s="2">
        <v>0</v>
      </c>
      <c r="AHN10" s="2">
        <v>0</v>
      </c>
      <c r="AHO10" s="2">
        <v>0</v>
      </c>
      <c r="AHP10" s="2">
        <v>0</v>
      </c>
      <c r="AHQ10" s="2">
        <v>88.9</v>
      </c>
      <c r="AHR10" s="2">
        <v>10.8</v>
      </c>
      <c r="AHS10" s="2">
        <v>21.97</v>
      </c>
      <c r="AHT10" s="2">
        <v>2.2360000000000002</v>
      </c>
      <c r="AHU10" s="2">
        <v>0.4</v>
      </c>
      <c r="AHV10" s="2">
        <v>0.6</v>
      </c>
      <c r="AHW10" s="2">
        <v>0.9</v>
      </c>
      <c r="AHX10" s="2">
        <v>0.45</v>
      </c>
      <c r="AHY10" s="2">
        <v>0.3</v>
      </c>
      <c r="AHZ10" s="2">
        <v>1316</v>
      </c>
      <c r="AIA10" s="2">
        <v>105</v>
      </c>
      <c r="AIB10" s="2">
        <v>11520</v>
      </c>
      <c r="AIC10" s="2">
        <v>150</v>
      </c>
      <c r="AID10" s="2">
        <v>0</v>
      </c>
      <c r="AIE10" s="2">
        <v>0</v>
      </c>
      <c r="AIF10" s="2">
        <v>0</v>
      </c>
      <c r="AIG10" s="2">
        <v>0</v>
      </c>
      <c r="AIH10" s="2">
        <v>0</v>
      </c>
      <c r="AII10" s="2">
        <v>0</v>
      </c>
      <c r="AIJ10" s="2">
        <v>0</v>
      </c>
      <c r="AIK10" s="2">
        <v>0</v>
      </c>
      <c r="AIL10" s="2">
        <v>0</v>
      </c>
      <c r="AIM10" s="2">
        <v>0</v>
      </c>
      <c r="AIN10" s="2">
        <v>0</v>
      </c>
      <c r="AIO10" s="2">
        <v>0</v>
      </c>
      <c r="AIP10" s="2">
        <v>-999</v>
      </c>
      <c r="AIQ10" s="2">
        <v>-999</v>
      </c>
      <c r="AIR10" s="2">
        <v>-999</v>
      </c>
      <c r="AIS10" s="2">
        <v>-999</v>
      </c>
      <c r="AIT10" s="2">
        <v>-999</v>
      </c>
      <c r="AIU10" s="2">
        <v>-999</v>
      </c>
      <c r="AIV10" s="2">
        <v>-999</v>
      </c>
      <c r="AIW10" s="2">
        <v>-999</v>
      </c>
      <c r="AIX10" s="2">
        <v>-999</v>
      </c>
      <c r="AIY10" s="2">
        <v>-999</v>
      </c>
      <c r="AIZ10" s="2">
        <v>-999</v>
      </c>
      <c r="AJA10" s="2">
        <v>-999</v>
      </c>
      <c r="AJB10" s="2">
        <v>1200</v>
      </c>
      <c r="AJC10" s="2">
        <v>800</v>
      </c>
      <c r="AJD10" s="2">
        <v>800</v>
      </c>
      <c r="AJE10" s="2">
        <v>4335</v>
      </c>
      <c r="AJF10" s="2">
        <v>4525</v>
      </c>
      <c r="AJG10" s="2">
        <v>6625</v>
      </c>
      <c r="AJH10" s="2">
        <v>4074</v>
      </c>
      <c r="AJI10" s="2">
        <v>2845</v>
      </c>
      <c r="AJJ10" s="2">
        <v>1131.5</v>
      </c>
      <c r="AJK10" s="2">
        <v>3076</v>
      </c>
      <c r="AJL10" s="2">
        <v>3083</v>
      </c>
      <c r="AJM10" s="2">
        <v>7289</v>
      </c>
      <c r="AJN10" s="2">
        <v>3998</v>
      </c>
      <c r="AJO10" s="2">
        <v>3998</v>
      </c>
      <c r="AJP10" s="2">
        <v>850</v>
      </c>
      <c r="AJQ10" s="2">
        <v>3678</v>
      </c>
      <c r="AJR10" s="2">
        <v>3880</v>
      </c>
      <c r="AJS10" s="2">
        <v>167.02500000000001</v>
      </c>
      <c r="AJT10" s="2">
        <v>74.266037735848997</v>
      </c>
      <c r="AJU10" s="8">
        <v>3.358E-5</v>
      </c>
      <c r="AJV10" s="2">
        <v>1.0099</v>
      </c>
      <c r="AJW10" s="8">
        <v>5.8769999999999998E-6</v>
      </c>
      <c r="AJX10" s="2">
        <v>2.6086956521739101E-4</v>
      </c>
      <c r="AJY10" s="2">
        <v>6.3739130434782503</v>
      </c>
      <c r="AJZ10" s="8">
        <v>5.2173913043478202E-5</v>
      </c>
      <c r="AKA10" s="2">
        <v>1</v>
      </c>
      <c r="AKB10" s="2">
        <v>1</v>
      </c>
      <c r="AKC10" s="2">
        <v>1</v>
      </c>
      <c r="AKD10" s="2">
        <v>1</v>
      </c>
      <c r="AKE10" s="2">
        <v>1</v>
      </c>
      <c r="AKF10" s="2">
        <v>1</v>
      </c>
      <c r="AKG10" s="2">
        <v>1</v>
      </c>
      <c r="AKH10" s="2">
        <v>0.1</v>
      </c>
      <c r="AKI10" s="2">
        <v>1</v>
      </c>
      <c r="AKJ10" s="2">
        <v>1</v>
      </c>
      <c r="AKK10" s="2">
        <v>1</v>
      </c>
      <c r="AKL10" s="2">
        <v>1</v>
      </c>
      <c r="AKM10" s="2">
        <v>1</v>
      </c>
      <c r="AKN10" s="2">
        <v>0.1</v>
      </c>
      <c r="AKO10" s="2">
        <v>1</v>
      </c>
      <c r="AKP10" s="2">
        <v>1</v>
      </c>
      <c r="AKQ10" s="2">
        <v>1</v>
      </c>
      <c r="AKR10" s="2">
        <v>1</v>
      </c>
      <c r="AKS10" s="2">
        <v>1</v>
      </c>
      <c r="AKT10" s="2">
        <v>1</v>
      </c>
      <c r="AKU10" s="2">
        <v>1</v>
      </c>
      <c r="AKV10" s="2">
        <v>1</v>
      </c>
      <c r="AKW10" s="2">
        <v>1</v>
      </c>
      <c r="AKX10" s="2">
        <v>1</v>
      </c>
      <c r="AKY10" s="2">
        <v>1</v>
      </c>
      <c r="AKZ10" s="2">
        <v>1</v>
      </c>
      <c r="ALA10" s="2">
        <v>1</v>
      </c>
      <c r="ALB10" s="2">
        <v>1</v>
      </c>
      <c r="ALC10" s="2">
        <v>1</v>
      </c>
      <c r="ALD10" s="2">
        <v>1</v>
      </c>
      <c r="ALE10" s="2">
        <v>1</v>
      </c>
      <c r="ALF10" s="2">
        <v>1</v>
      </c>
      <c r="ALG10" s="2">
        <v>1</v>
      </c>
      <c r="ALH10" s="2">
        <v>1</v>
      </c>
      <c r="ALI10" s="2">
        <v>1</v>
      </c>
      <c r="ALJ10" s="2">
        <v>1</v>
      </c>
      <c r="ALK10" s="2">
        <v>1</v>
      </c>
      <c r="ALL10" s="2">
        <v>1</v>
      </c>
      <c r="ALM10" s="2">
        <v>1</v>
      </c>
      <c r="ALN10" s="2">
        <v>1</v>
      </c>
      <c r="ALO10" s="2">
        <v>1</v>
      </c>
      <c r="ALP10" s="2">
        <v>1</v>
      </c>
      <c r="ALQ10" s="2">
        <v>300</v>
      </c>
      <c r="ALR10" s="2">
        <v>150</v>
      </c>
      <c r="ALS10" s="2">
        <v>150</v>
      </c>
      <c r="ALT10" s="2">
        <v>151.72999999999999</v>
      </c>
      <c r="ALU10" s="2">
        <v>131.62</v>
      </c>
      <c r="ALV10" s="2">
        <v>62.34</v>
      </c>
      <c r="ALW10" s="2">
        <v>42.49</v>
      </c>
      <c r="ALX10" s="2">
        <v>28.89</v>
      </c>
      <c r="ALY10" s="2">
        <v>13.77</v>
      </c>
      <c r="ALZ10" s="2">
        <v>143.22</v>
      </c>
      <c r="AMA10" s="2">
        <v>43.78</v>
      </c>
      <c r="AMB10" s="2">
        <v>113.41</v>
      </c>
      <c r="AMC10" s="2">
        <v>71.94</v>
      </c>
      <c r="AMD10" s="2">
        <v>71.94</v>
      </c>
      <c r="AME10" s="2">
        <v>24.82</v>
      </c>
      <c r="AMF10" s="2">
        <v>24.26</v>
      </c>
      <c r="AMG10" s="2">
        <v>71.37</v>
      </c>
      <c r="AMH10" s="2">
        <v>0</v>
      </c>
      <c r="AMI10" s="2">
        <v>0</v>
      </c>
      <c r="AMJ10" s="2">
        <v>0</v>
      </c>
      <c r="AMK10" s="2">
        <v>0</v>
      </c>
      <c r="AML10" s="9">
        <v>6.180751188981347E-3</v>
      </c>
      <c r="AMM10" s="2">
        <v>0.3099484069927067</v>
      </c>
      <c r="AMN10" s="2">
        <v>0</v>
      </c>
      <c r="AMO10" s="2">
        <v>0</v>
      </c>
      <c r="AMP10" s="2">
        <v>0</v>
      </c>
      <c r="AMQ10" s="2">
        <v>0</v>
      </c>
      <c r="AMR10" s="2">
        <v>0.41515129828305242</v>
      </c>
      <c r="AMS10" s="2">
        <v>0</v>
      </c>
      <c r="AMT10" s="2">
        <v>0</v>
      </c>
      <c r="AMU10" s="2">
        <v>0.23590951380259331</v>
      </c>
      <c r="AMV10" s="2">
        <v>1.1580775911986104E-2</v>
      </c>
      <c r="AMW10" s="2">
        <v>0</v>
      </c>
      <c r="AMX10" s="2">
        <v>2.1229253820680145E-2</v>
      </c>
      <c r="AMY10" s="2">
        <v>1.3034433554879601</v>
      </c>
      <c r="AMZ10" s="2">
        <v>0</v>
      </c>
      <c r="ANA10" s="2">
        <v>1.9670000000000001</v>
      </c>
      <c r="ANB10" s="2">
        <v>0</v>
      </c>
      <c r="ANC10" s="2">
        <v>0</v>
      </c>
      <c r="AND10" s="2">
        <v>1.3149999999999999</v>
      </c>
      <c r="ANE10" s="2">
        <v>0</v>
      </c>
      <c r="ANF10" s="2">
        <v>8.8768668407310704E-3</v>
      </c>
      <c r="ANG10" s="2">
        <v>1</v>
      </c>
      <c r="ANH10" s="2">
        <v>1.0869565217391299</v>
      </c>
      <c r="ANI10" s="2">
        <v>0</v>
      </c>
      <c r="ANJ10" s="2">
        <v>1.00230179028132</v>
      </c>
      <c r="ANK10" s="2">
        <v>7.8260869565217606E-3</v>
      </c>
      <c r="ANL10" s="2">
        <v>7.3657289002557703E-3</v>
      </c>
      <c r="ANM10" s="2">
        <v>4.6035805626598499E-4</v>
      </c>
      <c r="ANN10" s="2">
        <v>5.0639386189258399E-3</v>
      </c>
      <c r="ANO10" s="2">
        <v>0</v>
      </c>
      <c r="ANP10" s="2">
        <v>3.7634408602150601E-2</v>
      </c>
      <c r="ANQ10" s="2">
        <v>3.5420619860847602E-2</v>
      </c>
      <c r="ANR10" s="2">
        <v>2.2137887413029699E-3</v>
      </c>
      <c r="ANS10" s="2">
        <v>0</v>
      </c>
      <c r="ANT10" s="2">
        <v>0</v>
      </c>
      <c r="ANU10" s="2">
        <v>4.0540540540540397E-2</v>
      </c>
      <c r="ANV10" s="2">
        <v>3.8155802861685101E-2</v>
      </c>
      <c r="ANW10" s="2">
        <v>2.3847376788553201E-3</v>
      </c>
      <c r="ANX10" s="2">
        <v>0</v>
      </c>
      <c r="ANY10" s="2">
        <v>0</v>
      </c>
      <c r="ANZ10" s="2">
        <v>1</v>
      </c>
      <c r="AOA10" s="2">
        <v>1</v>
      </c>
      <c r="AOB10" s="2">
        <v>1</v>
      </c>
      <c r="AOC10" s="2">
        <v>2.76E-2</v>
      </c>
      <c r="AOD10" s="2">
        <v>0.94899999999999995</v>
      </c>
      <c r="AOE10" s="2">
        <v>0.2969</v>
      </c>
      <c r="AOF10" s="2">
        <v>0.47910000000000003</v>
      </c>
      <c r="AOG10" s="2">
        <v>0.04</v>
      </c>
      <c r="AOH10" s="2">
        <v>8.5949999999999999E-2</v>
      </c>
      <c r="AOI10" s="2">
        <v>1.405E-2</v>
      </c>
      <c r="AOJ10" s="2">
        <v>1</v>
      </c>
      <c r="AOK10" s="2">
        <v>1</v>
      </c>
      <c r="AOL10" s="2">
        <v>1</v>
      </c>
      <c r="AOM10" s="2">
        <v>0</v>
      </c>
      <c r="AON10" s="2">
        <v>1</v>
      </c>
      <c r="AOO10" s="2">
        <v>0</v>
      </c>
      <c r="AOP10" s="2">
        <v>0</v>
      </c>
      <c r="AOQ10" s="2">
        <v>0</v>
      </c>
      <c r="AOR10" s="2">
        <v>0</v>
      </c>
      <c r="AOS10" s="2">
        <v>1</v>
      </c>
      <c r="AOT10" s="2">
        <v>1</v>
      </c>
      <c r="AOU10" s="2">
        <v>0</v>
      </c>
      <c r="AOV10" s="2">
        <v>1</v>
      </c>
      <c r="AOW10" s="2">
        <v>0</v>
      </c>
      <c r="AOX10" s="2">
        <v>1</v>
      </c>
      <c r="AOY10" s="2">
        <v>0</v>
      </c>
      <c r="AOZ10" s="2">
        <v>1</v>
      </c>
      <c r="APA10" s="2">
        <v>1</v>
      </c>
      <c r="APB10" s="2">
        <v>1</v>
      </c>
      <c r="APC10" s="2">
        <v>1</v>
      </c>
      <c r="APD10" s="2">
        <v>1</v>
      </c>
      <c r="APE10" s="2">
        <v>1.1499999999999999</v>
      </c>
      <c r="APF10" s="2">
        <v>0</v>
      </c>
      <c r="APG10" s="2">
        <v>1</v>
      </c>
      <c r="APH10" s="2">
        <v>0</v>
      </c>
      <c r="API10" s="2">
        <v>1</v>
      </c>
      <c r="APJ10" s="2">
        <v>1</v>
      </c>
      <c r="APK10" s="2">
        <v>1</v>
      </c>
      <c r="APL10" s="2">
        <v>1</v>
      </c>
      <c r="APM10" s="2">
        <v>1</v>
      </c>
      <c r="APN10" s="2">
        <v>1</v>
      </c>
      <c r="APO10" s="2">
        <v>1</v>
      </c>
      <c r="APP10" s="2">
        <v>1</v>
      </c>
      <c r="APQ10" s="2">
        <v>0.5</v>
      </c>
      <c r="APR10" s="2">
        <v>0</v>
      </c>
      <c r="APS10" s="2">
        <v>1</v>
      </c>
      <c r="APT10" s="2">
        <v>0.25</v>
      </c>
      <c r="APU10" s="2">
        <v>0.25</v>
      </c>
      <c r="APV10" s="2">
        <v>0.25</v>
      </c>
      <c r="APW10" s="2">
        <v>0.25</v>
      </c>
      <c r="APX10" s="2">
        <v>0</v>
      </c>
      <c r="APY10" s="2">
        <v>0.5</v>
      </c>
      <c r="APZ10" s="2">
        <v>0</v>
      </c>
      <c r="AQA10" s="2">
        <v>0</v>
      </c>
      <c r="AQB10" s="2">
        <v>0</v>
      </c>
      <c r="AQC10" s="2">
        <v>0</v>
      </c>
      <c r="AQD10" s="2">
        <v>198.95</v>
      </c>
      <c r="AQE10" s="2">
        <v>0.4</v>
      </c>
      <c r="AQF10" s="2">
        <v>0</v>
      </c>
      <c r="AQG10" s="2">
        <v>0</v>
      </c>
      <c r="AQH10" s="2">
        <v>0</v>
      </c>
      <c r="AQI10" s="2">
        <v>3</v>
      </c>
      <c r="AQJ10" s="2">
        <v>0</v>
      </c>
      <c r="AQK10" s="2">
        <v>25</v>
      </c>
      <c r="AQL10" s="2">
        <v>0</v>
      </c>
      <c r="AQM10" s="2">
        <v>-999</v>
      </c>
      <c r="AQN10" s="2">
        <v>-999</v>
      </c>
      <c r="AQO10" s="2">
        <v>-999</v>
      </c>
      <c r="AQP10" s="2">
        <v>-999</v>
      </c>
      <c r="AQQ10" s="2">
        <v>-999</v>
      </c>
      <c r="AQR10" s="2">
        <v>-999</v>
      </c>
      <c r="AQS10" s="2">
        <v>-999</v>
      </c>
      <c r="AQT10" s="2">
        <v>-999</v>
      </c>
      <c r="AQU10" s="2">
        <v>-999</v>
      </c>
      <c r="AQV10" s="2">
        <v>-999</v>
      </c>
      <c r="AQW10" s="2">
        <v>-999</v>
      </c>
      <c r="AQX10" s="2">
        <v>-999</v>
      </c>
      <c r="AQY10" s="2">
        <v>-999</v>
      </c>
      <c r="AQZ10" s="2">
        <v>0</v>
      </c>
      <c r="ARA10" s="2">
        <v>-999</v>
      </c>
      <c r="ARB10" s="2">
        <v>-999</v>
      </c>
      <c r="ARC10" s="2">
        <v>-999</v>
      </c>
      <c r="ARD10" s="2">
        <v>-999</v>
      </c>
      <c r="ARE10" s="2">
        <v>-999</v>
      </c>
      <c r="ARF10" s="2">
        <v>-999</v>
      </c>
      <c r="ARG10" s="2">
        <v>-999</v>
      </c>
      <c r="ARH10" s="2">
        <v>-999</v>
      </c>
      <c r="ARI10" s="2">
        <v>-999</v>
      </c>
      <c r="ARJ10" s="2">
        <v>-999</v>
      </c>
      <c r="ARK10" s="2">
        <v>-999</v>
      </c>
      <c r="ARL10" s="2">
        <v>-999</v>
      </c>
      <c r="ARM10" s="2">
        <v>-999</v>
      </c>
      <c r="ARN10" s="2">
        <v>-999</v>
      </c>
      <c r="ARO10" s="2">
        <v>-999</v>
      </c>
      <c r="ARP10" s="2">
        <v>-999</v>
      </c>
      <c r="ARQ10" s="2">
        <v>-999</v>
      </c>
      <c r="ARR10" s="2">
        <v>-999</v>
      </c>
      <c r="ARS10" s="2">
        <v>-999</v>
      </c>
      <c r="ART10" s="2">
        <v>-999</v>
      </c>
      <c r="ARU10" s="2">
        <v>-999</v>
      </c>
      <c r="ARV10" s="2">
        <v>-999</v>
      </c>
      <c r="ARW10" s="2">
        <v>-999</v>
      </c>
      <c r="ARX10" s="2">
        <v>-999</v>
      </c>
      <c r="ARY10" s="2">
        <v>-999</v>
      </c>
      <c r="ARZ10" s="2">
        <v>-999</v>
      </c>
      <c r="ASA10" s="2">
        <v>-999</v>
      </c>
      <c r="ASB10" s="2">
        <v>-999</v>
      </c>
      <c r="ASC10" s="2">
        <v>-999</v>
      </c>
      <c r="ASD10" s="2">
        <v>-999</v>
      </c>
      <c r="ASE10" s="2">
        <v>-999</v>
      </c>
      <c r="ASF10" s="2">
        <v>-999</v>
      </c>
      <c r="ASG10" s="2">
        <v>-999</v>
      </c>
      <c r="ASH10" s="2">
        <v>-999</v>
      </c>
      <c r="ASI10" s="2">
        <v>-999</v>
      </c>
      <c r="ASJ10" s="2">
        <v>-999</v>
      </c>
      <c r="ASK10" s="2">
        <v>-999</v>
      </c>
      <c r="ASL10" s="2">
        <v>-999</v>
      </c>
      <c r="ASM10" s="2">
        <v>-999</v>
      </c>
      <c r="ASN10" s="2">
        <v>-999</v>
      </c>
      <c r="ASO10" s="2">
        <v>-999</v>
      </c>
      <c r="ASP10" s="2">
        <v>4.51</v>
      </c>
      <c r="ASQ10" s="2">
        <v>133</v>
      </c>
      <c r="ASR10" s="2">
        <v>11.49</v>
      </c>
      <c r="ASS10" s="2">
        <v>78.8</v>
      </c>
      <c r="AST10" s="2">
        <v>6.11</v>
      </c>
      <c r="ASU10" s="2">
        <v>2.3199999999999998</v>
      </c>
      <c r="ASV10" s="2">
        <v>1.21</v>
      </c>
      <c r="ASW10" s="2">
        <v>26</v>
      </c>
      <c r="ASX10" s="2">
        <v>2.81</v>
      </c>
      <c r="ASY10" s="2">
        <v>3.22</v>
      </c>
      <c r="ASZ10" s="2">
        <v>183.3</v>
      </c>
      <c r="ATA10" s="2">
        <v>30</v>
      </c>
      <c r="ATB10" s="2">
        <v>120</v>
      </c>
      <c r="ATC10" s="2">
        <v>40</v>
      </c>
      <c r="ATD10" s="2">
        <v>0.3</v>
      </c>
      <c r="ATE10" s="2">
        <v>1.55</v>
      </c>
      <c r="ATF10" s="2">
        <v>0</v>
      </c>
      <c r="ATG10" s="2">
        <v>1.8140000000000001</v>
      </c>
      <c r="ATI10" s="2">
        <v>250</v>
      </c>
      <c r="ATJ10" s="2">
        <v>1</v>
      </c>
      <c r="ATK10" s="2">
        <v>2</v>
      </c>
      <c r="ATL10" s="2">
        <v>70</v>
      </c>
      <c r="ATM10" s="2">
        <v>470</v>
      </c>
      <c r="ATN10" s="2">
        <v>15</v>
      </c>
      <c r="ATO10" s="2">
        <v>2.8</v>
      </c>
      <c r="ATP10" s="2">
        <v>15</v>
      </c>
      <c r="ATQ10" s="2">
        <v>3.7</v>
      </c>
      <c r="ATR10" s="10">
        <v>17660250</v>
      </c>
      <c r="ATS10" s="10">
        <v>4009750</v>
      </c>
      <c r="ATT10" s="2">
        <v>100000</v>
      </c>
      <c r="ATU10" s="2">
        <v>80000</v>
      </c>
      <c r="ATV10" s="2">
        <v>5000</v>
      </c>
      <c r="ATW10" s="2">
        <v>14000</v>
      </c>
      <c r="ATX10" s="2">
        <v>1400</v>
      </c>
      <c r="ATY10" s="2">
        <v>10000</v>
      </c>
      <c r="ATZ10" s="2">
        <v>108</v>
      </c>
      <c r="AUA10" s="2">
        <v>105000</v>
      </c>
      <c r="AUB10" s="2">
        <v>100000</v>
      </c>
      <c r="AUC10" s="2">
        <v>0</v>
      </c>
      <c r="AUD10" s="2">
        <v>0</v>
      </c>
      <c r="AUE10" s="2">
        <v>0</v>
      </c>
      <c r="AUF10" s="2">
        <v>0</v>
      </c>
      <c r="AUG10" s="2">
        <v>0</v>
      </c>
      <c r="AUH10" s="2">
        <v>0</v>
      </c>
      <c r="AUI10" s="2">
        <v>5000</v>
      </c>
      <c r="AUJ10" s="2">
        <v>400000</v>
      </c>
      <c r="AUK10" s="2">
        <v>1424850.75</v>
      </c>
      <c r="AUL10" s="2">
        <v>0</v>
      </c>
      <c r="AUM10" s="2">
        <v>0.9</v>
      </c>
      <c r="AUN10" s="2">
        <v>1.2</v>
      </c>
      <c r="AUO10" s="2">
        <v>0.01</v>
      </c>
      <c r="AUP10" s="2">
        <v>2.6</v>
      </c>
      <c r="AUQ10" s="2">
        <v>0</v>
      </c>
      <c r="AUR10" s="2">
        <v>7.8</v>
      </c>
      <c r="AUS10" s="2">
        <v>0.6</v>
      </c>
      <c r="AUT10" s="2">
        <v>6</v>
      </c>
      <c r="AUU10" s="2">
        <v>0</v>
      </c>
      <c r="AUV10" s="2">
        <v>0</v>
      </c>
      <c r="AUW10" s="2">
        <v>0</v>
      </c>
      <c r="AUX10" s="2">
        <v>0</v>
      </c>
      <c r="AUY10" s="2">
        <v>0.1</v>
      </c>
      <c r="AUZ10" s="2">
        <v>2</v>
      </c>
      <c r="AVA10" s="2">
        <v>4</v>
      </c>
      <c r="AVB10" s="2">
        <v>0.6</v>
      </c>
      <c r="AVC10" s="2">
        <v>0.5</v>
      </c>
      <c r="AVD10" s="2">
        <v>0.95</v>
      </c>
      <c r="AVE10" s="2">
        <v>1</v>
      </c>
      <c r="AVF10" s="2">
        <v>1</v>
      </c>
      <c r="AVG10" s="2">
        <v>1</v>
      </c>
      <c r="AVH10" s="2">
        <v>1</v>
      </c>
      <c r="AVI10" s="2">
        <v>1</v>
      </c>
      <c r="AVJ10" s="2">
        <v>1</v>
      </c>
      <c r="AVK10" s="2">
        <v>1</v>
      </c>
      <c r="AVL10" s="2">
        <v>1</v>
      </c>
      <c r="AVM10" s="2">
        <v>1</v>
      </c>
      <c r="AVN10" s="2">
        <v>1</v>
      </c>
      <c r="AVO10" s="2">
        <v>1</v>
      </c>
      <c r="AVP10" s="2">
        <v>1</v>
      </c>
      <c r="AVQ10" s="2">
        <v>1</v>
      </c>
      <c r="AVR10" s="2">
        <v>1</v>
      </c>
      <c r="AVS10" s="2">
        <v>1</v>
      </c>
      <c r="AVT10" s="2">
        <v>1</v>
      </c>
      <c r="AVU10" s="2">
        <v>1</v>
      </c>
      <c r="AVV10" s="2">
        <v>1</v>
      </c>
      <c r="AVW10" s="2">
        <v>1</v>
      </c>
      <c r="AVX10" s="2">
        <v>1</v>
      </c>
      <c r="AVY10" s="2">
        <v>1</v>
      </c>
      <c r="AVZ10" s="2">
        <v>1</v>
      </c>
      <c r="AWA10" s="2">
        <v>1</v>
      </c>
      <c r="AWB10" s="2">
        <v>1</v>
      </c>
      <c r="AWC10" s="2">
        <v>1</v>
      </c>
      <c r="AWD10" s="2">
        <v>1</v>
      </c>
      <c r="AWE10" s="2">
        <v>60</v>
      </c>
      <c r="AWF10" s="2">
        <v>5</v>
      </c>
      <c r="AWG10" s="2">
        <v>4.5</v>
      </c>
      <c r="AWH10" s="2">
        <v>74.14</v>
      </c>
      <c r="AWI10" s="2">
        <v>14.57</v>
      </c>
      <c r="AWJ10" s="2">
        <v>14.57</v>
      </c>
      <c r="AWK10" s="2">
        <v>0.45</v>
      </c>
      <c r="AWL10" s="2">
        <v>25</v>
      </c>
      <c r="AWM10" s="2">
        <v>2</v>
      </c>
      <c r="AWN10" s="2">
        <v>1</v>
      </c>
      <c r="AWO10" s="2">
        <v>4</v>
      </c>
      <c r="AWP10" s="2">
        <v>25</v>
      </c>
      <c r="AWQ10" s="2">
        <v>5</v>
      </c>
      <c r="AWR10" s="2">
        <v>19</v>
      </c>
      <c r="AWS10" s="2">
        <v>25</v>
      </c>
      <c r="AWT10" s="2">
        <v>2</v>
      </c>
      <c r="AWU10" s="2">
        <v>3.4</v>
      </c>
      <c r="AWV10" s="2">
        <v>3</v>
      </c>
      <c r="AWW10" s="2">
        <v>4</v>
      </c>
      <c r="AWX10" s="2">
        <v>16</v>
      </c>
      <c r="AWY10" s="2">
        <v>16</v>
      </c>
      <c r="AWZ10" s="2">
        <v>25</v>
      </c>
      <c r="AXA10" s="2">
        <v>25</v>
      </c>
      <c r="AXB10" s="2">
        <v>25</v>
      </c>
    </row>
    <row r="11" spans="1:1302" x14ac:dyDescent="0.3">
      <c r="A11" s="1">
        <v>2017</v>
      </c>
      <c r="B11" s="2">
        <v>6552500</v>
      </c>
      <c r="C11" s="2">
        <v>0</v>
      </c>
      <c r="D11" s="2">
        <v>2317</v>
      </c>
      <c r="E11" s="2">
        <v>20</v>
      </c>
      <c r="F11" s="2">
        <v>2000</v>
      </c>
      <c r="G11" s="2">
        <v>1</v>
      </c>
      <c r="H11" s="2">
        <v>0.4</v>
      </c>
      <c r="I11" s="2">
        <v>5.0000000000000001E-3</v>
      </c>
      <c r="J11" s="2">
        <v>0.02</v>
      </c>
      <c r="K11" s="2">
        <v>1E-3</v>
      </c>
      <c r="L11" s="2">
        <v>7.0000000000000001E-3</v>
      </c>
      <c r="M11" s="2">
        <v>1E-3</v>
      </c>
      <c r="N11" s="2">
        <v>0.05</v>
      </c>
      <c r="O11" s="2">
        <v>4.7000000000000002E-3</v>
      </c>
      <c r="P11" s="2">
        <v>0.115</v>
      </c>
      <c r="Q11" s="2">
        <v>1.09E-2</v>
      </c>
      <c r="R11" s="2">
        <v>6.0000000000000001E-3</v>
      </c>
      <c r="S11" s="2">
        <v>1.7000000000000001E-2</v>
      </c>
      <c r="T11" s="2">
        <v>7.9000000000000001E-2</v>
      </c>
      <c r="U11" s="2">
        <v>2.2899999999999999E-3</v>
      </c>
      <c r="V11" s="2">
        <v>1.1999999999999999E-3</v>
      </c>
      <c r="W11" s="2">
        <v>8.0000000000000004E-4</v>
      </c>
      <c r="X11" s="2">
        <v>1.6E-2</v>
      </c>
      <c r="Y11" s="2">
        <v>1.4999999999999999E-2</v>
      </c>
      <c r="Z11" s="2">
        <v>2.5000000000000001E-2</v>
      </c>
      <c r="AA11" s="2">
        <v>0</v>
      </c>
      <c r="AB11" s="2">
        <v>8.8000000000000007</v>
      </c>
      <c r="AC11" s="2">
        <v>2.98</v>
      </c>
      <c r="AD11" s="4">
        <v>12.524158037913505</v>
      </c>
      <c r="AE11" s="5">
        <v>146.26573426573427</v>
      </c>
      <c r="AF11" s="5">
        <v>614.12296165001726</v>
      </c>
      <c r="AG11" s="2">
        <v>0</v>
      </c>
      <c r="AH11" s="2">
        <v>0</v>
      </c>
      <c r="AI11" s="2">
        <v>800</v>
      </c>
      <c r="AJ11" s="2">
        <v>18.989999999999998</v>
      </c>
      <c r="AK11" s="2">
        <v>18.600000000000001</v>
      </c>
      <c r="AL11" s="2">
        <v>62</v>
      </c>
      <c r="AM11" s="6">
        <f t="shared" si="0"/>
        <v>167.63013157894738</v>
      </c>
      <c r="AN11" s="7">
        <v>124.53947368421052</v>
      </c>
      <c r="AO11" s="2">
        <v>0</v>
      </c>
      <c r="AP11" s="6">
        <v>358</v>
      </c>
      <c r="AQ11" s="7">
        <v>625</v>
      </c>
      <c r="AR11" s="2">
        <v>52.83</v>
      </c>
      <c r="AS11" s="2">
        <v>0</v>
      </c>
      <c r="AT11" s="7">
        <v>776.31578947368416</v>
      </c>
      <c r="AU11" s="2">
        <v>0</v>
      </c>
      <c r="AV11" s="2">
        <v>0</v>
      </c>
      <c r="AW11" s="2">
        <v>0</v>
      </c>
      <c r="AX11" s="2">
        <v>0</v>
      </c>
      <c r="AY11" s="2">
        <v>430</v>
      </c>
      <c r="AZ11" s="2">
        <v>9.99</v>
      </c>
      <c r="BA11" s="2">
        <v>74758.66</v>
      </c>
      <c r="BB11" s="2">
        <v>540</v>
      </c>
      <c r="BC11" s="2">
        <v>9380</v>
      </c>
      <c r="BD11" s="2">
        <v>3</v>
      </c>
      <c r="BE11" s="2">
        <v>0.4</v>
      </c>
      <c r="BF11" s="2">
        <v>37996</v>
      </c>
      <c r="BG11" s="2">
        <v>4112</v>
      </c>
      <c r="BH11" s="2">
        <v>0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1</v>
      </c>
      <c r="BZ11" s="2">
        <v>1</v>
      </c>
      <c r="CA11" s="2">
        <v>1</v>
      </c>
      <c r="CB11" s="2">
        <v>1</v>
      </c>
      <c r="CC11" s="2">
        <v>1</v>
      </c>
      <c r="CD11" s="2">
        <v>1</v>
      </c>
      <c r="CE11" s="2">
        <v>1</v>
      </c>
      <c r="CF11" s="2">
        <v>1</v>
      </c>
      <c r="CG11" s="2">
        <v>1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0</v>
      </c>
      <c r="CN11" s="2">
        <v>54.6</v>
      </c>
      <c r="CO11" s="2">
        <v>112</v>
      </c>
      <c r="CP11" s="2">
        <v>94.6</v>
      </c>
      <c r="CQ11" s="2">
        <v>97.016666666666595</v>
      </c>
      <c r="CR11" s="2">
        <v>103.833333333333</v>
      </c>
      <c r="CS11" s="2">
        <v>73.3</v>
      </c>
      <c r="CT11" s="2">
        <v>74.099999999999994</v>
      </c>
      <c r="CU11" s="2">
        <v>0</v>
      </c>
      <c r="CV11" s="2">
        <v>221</v>
      </c>
      <c r="CW11" s="2">
        <v>69.766666666666595</v>
      </c>
      <c r="CX11" s="2">
        <v>0</v>
      </c>
      <c r="CY11" s="2">
        <v>63.1</v>
      </c>
      <c r="CZ11" s="2">
        <v>0</v>
      </c>
      <c r="DA11" s="2">
        <v>0</v>
      </c>
      <c r="DB11" s="2">
        <v>71.7</v>
      </c>
      <c r="DC11" s="2">
        <v>60.15</v>
      </c>
      <c r="DD11" s="2">
        <v>60.15</v>
      </c>
      <c r="DE11" s="2">
        <v>0</v>
      </c>
      <c r="DF11" s="2">
        <v>0</v>
      </c>
      <c r="DG11" s="2">
        <v>75.349999999999994</v>
      </c>
      <c r="DH11" s="2">
        <v>95.066666666666606</v>
      </c>
      <c r="DI11" s="2">
        <v>0</v>
      </c>
      <c r="DJ11" s="2">
        <v>100.37</v>
      </c>
      <c r="DK11" s="2">
        <v>0</v>
      </c>
      <c r="DL11" s="2">
        <v>3.0000000000000001E-3</v>
      </c>
      <c r="DM11" s="2">
        <v>1E-3</v>
      </c>
      <c r="DN11" s="2">
        <v>1.6E-2</v>
      </c>
      <c r="DO11" s="2">
        <v>1E-3</v>
      </c>
      <c r="DP11" s="2">
        <v>1E-3</v>
      </c>
      <c r="DQ11" s="2">
        <v>1.6666666666666601E-3</v>
      </c>
      <c r="DR11" s="2">
        <v>3.0000000000000001E-3</v>
      </c>
      <c r="DS11" s="2">
        <v>3.0000000000000001E-3</v>
      </c>
      <c r="DT11" s="2">
        <v>0</v>
      </c>
      <c r="DU11" s="2">
        <v>1E-3</v>
      </c>
      <c r="DV11" s="2">
        <v>3.0000000000000001E-3</v>
      </c>
      <c r="DW11" s="2">
        <v>0</v>
      </c>
      <c r="DX11" s="2">
        <v>1E-3</v>
      </c>
      <c r="DY11" s="2">
        <v>0</v>
      </c>
      <c r="DZ11" s="2">
        <v>0</v>
      </c>
      <c r="EA11" s="2">
        <v>3.0000000000000001E-3</v>
      </c>
      <c r="EB11" s="2">
        <v>2E-3</v>
      </c>
      <c r="EC11" s="2">
        <v>2E-3</v>
      </c>
      <c r="ED11" s="2">
        <v>0</v>
      </c>
      <c r="EE11" s="2">
        <v>0</v>
      </c>
      <c r="EF11" s="2">
        <v>1.6500000000000001E-2</v>
      </c>
      <c r="EG11" s="2">
        <v>1E-3</v>
      </c>
      <c r="EH11" s="2">
        <v>0</v>
      </c>
      <c r="EI11" s="2">
        <v>2.79</v>
      </c>
      <c r="EJ11" s="2">
        <v>0</v>
      </c>
      <c r="EK11" s="2">
        <v>5.9999999999999995E-4</v>
      </c>
      <c r="EL11" s="2">
        <v>1E-4</v>
      </c>
      <c r="EM11" s="2">
        <v>2.875E-3</v>
      </c>
      <c r="EN11" s="2">
        <v>1.5E-3</v>
      </c>
      <c r="EO11" s="2">
        <v>1.5E-3</v>
      </c>
      <c r="EP11" s="2">
        <v>7.3333333333333302E-4</v>
      </c>
      <c r="EQ11" s="2">
        <v>5.9999999999999995E-4</v>
      </c>
      <c r="ER11" s="2">
        <v>5.9999999999999995E-4</v>
      </c>
      <c r="ES11" s="2">
        <v>0</v>
      </c>
      <c r="ET11" s="2">
        <v>1E-4</v>
      </c>
      <c r="EU11" s="2">
        <v>5.9999999999999995E-4</v>
      </c>
      <c r="EV11" s="2">
        <v>0</v>
      </c>
      <c r="EW11" s="2">
        <v>1E-4</v>
      </c>
      <c r="EX11" s="2">
        <v>0</v>
      </c>
      <c r="EY11" s="2">
        <v>0</v>
      </c>
      <c r="EZ11" s="2">
        <v>5.9999999999999995E-4</v>
      </c>
      <c r="FA11" s="2">
        <v>3.5E-4</v>
      </c>
      <c r="FB11" s="2">
        <v>3.5E-4</v>
      </c>
      <c r="FC11" s="2">
        <v>0</v>
      </c>
      <c r="FD11" s="2">
        <v>0</v>
      </c>
      <c r="FE11" s="2">
        <v>2.3E-3</v>
      </c>
      <c r="FF11" s="2">
        <v>1.5E-3</v>
      </c>
      <c r="FG11" s="2">
        <v>0</v>
      </c>
      <c r="FH11" s="2">
        <v>9.5899999999999996E-3</v>
      </c>
      <c r="FI11" s="2">
        <v>0</v>
      </c>
      <c r="FJ11" s="8">
        <v>1.6583123951776999E-6</v>
      </c>
      <c r="FK11" s="8">
        <v>8.4498520697110406E-8</v>
      </c>
      <c r="FL11" s="8">
        <v>2.4E-8</v>
      </c>
      <c r="FM11" s="2">
        <v>1.4105270168067501E-4</v>
      </c>
      <c r="FN11" s="8">
        <v>3.23821170194798E-9</v>
      </c>
      <c r="FO11" s="8">
        <v>2.46779253585061E-5</v>
      </c>
      <c r="FP11" s="2">
        <v>5.1415182085719699E-2</v>
      </c>
      <c r="FQ11" s="8">
        <v>4.89277622940513E-6</v>
      </c>
      <c r="FR11" s="2">
        <v>3.99749921826133E-2</v>
      </c>
      <c r="FS11" s="8">
        <v>6.3213623094501506E-11</v>
      </c>
      <c r="FT11" s="8">
        <v>6.3213922517116401E-7</v>
      </c>
      <c r="FU11" s="8">
        <v>2.6021139604446299E-9</v>
      </c>
      <c r="FV11" s="2">
        <v>6.2529992803453897E-3</v>
      </c>
      <c r="FW11" s="2">
        <v>0</v>
      </c>
      <c r="FX11" s="8">
        <v>3.2490625588560901E-6</v>
      </c>
      <c r="FY11" s="2">
        <v>9.2441948549119596E-3</v>
      </c>
      <c r="FZ11" s="2">
        <v>0</v>
      </c>
      <c r="GA11" s="8">
        <v>6.1712669934061603E-5</v>
      </c>
      <c r="GB11" s="2">
        <v>1.02490704319759E-2</v>
      </c>
      <c r="GC11" s="8">
        <v>6.8E-8</v>
      </c>
      <c r="GD11" s="8">
        <v>5.4211433772233295E-7</v>
      </c>
      <c r="GE11" s="2">
        <v>1.40263261984831E-2</v>
      </c>
      <c r="GF11" s="2">
        <v>1.52432705551728E-2</v>
      </c>
      <c r="GG11" s="2">
        <v>1.02176318195558E-2</v>
      </c>
      <c r="GH11" s="2">
        <v>5.1633091233467803E-3</v>
      </c>
      <c r="GI11" s="2">
        <v>2.1213203435596398E-3</v>
      </c>
      <c r="GJ11" s="2">
        <v>0</v>
      </c>
      <c r="GK11" s="2">
        <v>1.87616630392937E-3</v>
      </c>
      <c r="GL11" s="8">
        <v>6.4583997501198804E-7</v>
      </c>
      <c r="GM11" s="8">
        <v>1.52E-5</v>
      </c>
      <c r="GN11" s="8">
        <v>6.2528652183015504E-9</v>
      </c>
      <c r="GO11" s="8">
        <v>1.395E-6</v>
      </c>
      <c r="GP11" s="2">
        <v>0</v>
      </c>
      <c r="GQ11" s="8">
        <v>1.82429989565185E-8</v>
      </c>
      <c r="GR11" s="2">
        <v>1.5200000000000001E-4</v>
      </c>
      <c r="GS11" s="2">
        <v>1</v>
      </c>
      <c r="GT11" s="2">
        <v>0</v>
      </c>
      <c r="GU11" s="8">
        <v>8.0000000000000007E-5</v>
      </c>
      <c r="GV11" s="8">
        <v>8.0000000000000007E-5</v>
      </c>
      <c r="GW11" s="2">
        <v>1</v>
      </c>
      <c r="GX11" s="2">
        <v>0</v>
      </c>
      <c r="GY11" s="2">
        <v>1</v>
      </c>
      <c r="GZ11" s="2">
        <v>1</v>
      </c>
      <c r="HA11" s="2">
        <v>0</v>
      </c>
      <c r="HB11" s="2">
        <v>0</v>
      </c>
      <c r="HC11" s="8">
        <v>2.0000000000000002E-5</v>
      </c>
      <c r="HD11" s="2">
        <v>1</v>
      </c>
      <c r="HE11" s="2">
        <v>1</v>
      </c>
      <c r="HF11" s="2">
        <v>1</v>
      </c>
      <c r="HG11" s="2">
        <v>1</v>
      </c>
      <c r="HH11" s="2">
        <v>1</v>
      </c>
      <c r="HI11" s="2">
        <v>1</v>
      </c>
      <c r="HJ11" s="2">
        <v>0</v>
      </c>
      <c r="HK11" s="2">
        <v>1</v>
      </c>
      <c r="HL11" s="2">
        <v>0</v>
      </c>
      <c r="HM11" s="8">
        <v>1.9999999999999999E-6</v>
      </c>
      <c r="HN11" s="8">
        <v>4.0000000000000001E-8</v>
      </c>
      <c r="HO11" s="2">
        <v>1</v>
      </c>
      <c r="HP11" s="2">
        <v>0</v>
      </c>
      <c r="HQ11" s="2">
        <v>0</v>
      </c>
      <c r="HR11" s="8">
        <v>5.9999999999999997E-7</v>
      </c>
      <c r="HS11" s="2">
        <v>1</v>
      </c>
      <c r="HT11" s="2">
        <v>1</v>
      </c>
      <c r="HU11" s="2">
        <v>0</v>
      </c>
      <c r="HV11" s="2">
        <v>0</v>
      </c>
      <c r="HW11" s="8">
        <v>7.9999999999999996E-6</v>
      </c>
      <c r="HX11" s="2">
        <v>1</v>
      </c>
      <c r="HY11" s="2">
        <v>0</v>
      </c>
      <c r="HZ11" s="2">
        <v>2.0000000000000001E-4</v>
      </c>
      <c r="IA11" s="2">
        <v>0</v>
      </c>
      <c r="IB11" s="2">
        <v>1</v>
      </c>
      <c r="IC11" s="2">
        <v>0</v>
      </c>
      <c r="ID11" s="8">
        <v>1.9999999999999999E-6</v>
      </c>
      <c r="IE11" s="2">
        <v>0</v>
      </c>
      <c r="IF11" s="2">
        <v>0</v>
      </c>
      <c r="IG11" s="2">
        <v>0</v>
      </c>
      <c r="IH11" s="2">
        <v>1</v>
      </c>
      <c r="II11" s="2">
        <v>1</v>
      </c>
      <c r="IJ11" s="2">
        <v>0</v>
      </c>
      <c r="IK11" s="2">
        <v>0</v>
      </c>
      <c r="IL11" s="2">
        <v>1.16E-3</v>
      </c>
      <c r="IM11" s="2">
        <v>1.7357142857142799E-4</v>
      </c>
      <c r="IN11" s="2">
        <v>3.9654299999999998E-3</v>
      </c>
      <c r="IO11" s="2">
        <v>1</v>
      </c>
      <c r="IP11" s="2">
        <v>1</v>
      </c>
      <c r="IQ11" s="2">
        <v>0</v>
      </c>
      <c r="IR11" s="2">
        <v>0</v>
      </c>
      <c r="IS11" s="2">
        <v>1</v>
      </c>
      <c r="IT11" s="2">
        <v>1</v>
      </c>
      <c r="IU11" s="2">
        <v>3.0000000000000001E-3</v>
      </c>
      <c r="IV11" s="8">
        <v>3.0000000000000001E-5</v>
      </c>
      <c r="IW11" s="2">
        <v>3.15</v>
      </c>
      <c r="IX11" s="2">
        <v>3.08</v>
      </c>
      <c r="IY11" s="2">
        <v>0.52</v>
      </c>
      <c r="IZ11" s="2">
        <v>0.848907407407407</v>
      </c>
      <c r="JA11" s="2">
        <v>0.2</v>
      </c>
      <c r="JB11" s="2">
        <v>0.75</v>
      </c>
      <c r="JC11" s="2">
        <v>1.8667380952380901</v>
      </c>
      <c r="JD11" s="2">
        <v>1.43807229</v>
      </c>
      <c r="JE11" s="2">
        <v>1</v>
      </c>
      <c r="JF11" s="2">
        <v>3.7409999999999999E-2</v>
      </c>
      <c r="JG11" s="2">
        <v>6.9999999999999999E-4</v>
      </c>
      <c r="JH11" s="2">
        <v>0</v>
      </c>
      <c r="JI11" s="2">
        <v>1E-4</v>
      </c>
      <c r="JJ11" s="2">
        <v>1</v>
      </c>
      <c r="JK11" s="8">
        <v>6.0000000000000002E-6</v>
      </c>
      <c r="JL11" s="8">
        <v>6.0000000000000002E-6</v>
      </c>
      <c r="JM11" s="8">
        <v>6.0000000000000002E-6</v>
      </c>
      <c r="JN11" s="2">
        <v>0.5</v>
      </c>
      <c r="JO11" s="2">
        <v>2</v>
      </c>
      <c r="JP11" s="2">
        <v>13.315</v>
      </c>
      <c r="JQ11" s="2">
        <v>3.71</v>
      </c>
      <c r="JR11" s="2">
        <v>77</v>
      </c>
      <c r="JS11" s="2">
        <v>3.9</v>
      </c>
      <c r="JT11" s="2">
        <v>20.6</v>
      </c>
      <c r="JU11" s="2">
        <v>62</v>
      </c>
      <c r="JV11" s="2">
        <v>350</v>
      </c>
      <c r="JW11" s="2">
        <v>41</v>
      </c>
      <c r="JX11" s="2">
        <v>3.9</v>
      </c>
      <c r="JY11" s="2">
        <v>5.6</v>
      </c>
      <c r="JZ11" s="2">
        <v>0.2</v>
      </c>
      <c r="KA11" s="2">
        <v>3</v>
      </c>
      <c r="KB11" s="2">
        <v>4.1500000000000004</v>
      </c>
      <c r="KC11" s="2">
        <v>350</v>
      </c>
      <c r="KD11" s="2">
        <v>28.6</v>
      </c>
      <c r="KE11" s="2">
        <v>3</v>
      </c>
      <c r="KF11" s="2">
        <v>4.1500000000000004</v>
      </c>
      <c r="KG11" s="2">
        <v>350</v>
      </c>
      <c r="KH11" s="2">
        <v>28.6</v>
      </c>
      <c r="KI11" s="2">
        <v>3</v>
      </c>
      <c r="KJ11" s="2">
        <v>77</v>
      </c>
      <c r="KK11" s="2">
        <v>3.9</v>
      </c>
      <c r="KL11" s="2">
        <v>20.6</v>
      </c>
      <c r="KM11" s="2">
        <v>62</v>
      </c>
      <c r="KN11" s="2">
        <v>350</v>
      </c>
      <c r="KO11" s="2">
        <v>41</v>
      </c>
      <c r="KP11" s="2">
        <v>3.9</v>
      </c>
      <c r="KQ11" s="2">
        <v>5.6</v>
      </c>
      <c r="KR11" s="2">
        <v>0.2</v>
      </c>
      <c r="KS11" s="2">
        <v>3</v>
      </c>
      <c r="KT11" s="2">
        <v>77</v>
      </c>
      <c r="KU11" s="2">
        <v>3.9</v>
      </c>
      <c r="KV11" s="2">
        <v>20.6</v>
      </c>
      <c r="KW11" s="2">
        <v>62</v>
      </c>
      <c r="KX11" s="2">
        <v>350</v>
      </c>
      <c r="KY11" s="2">
        <v>41</v>
      </c>
      <c r="KZ11" s="2">
        <v>3.9</v>
      </c>
      <c r="LA11" s="2">
        <v>5.6</v>
      </c>
      <c r="LB11" s="2">
        <v>0.2</v>
      </c>
      <c r="LC11" s="2">
        <v>3</v>
      </c>
      <c r="LD11" s="2">
        <v>18</v>
      </c>
      <c r="LE11" s="2">
        <v>3.9</v>
      </c>
      <c r="LF11" s="2">
        <v>20.6</v>
      </c>
      <c r="LG11" s="2">
        <v>62</v>
      </c>
      <c r="LH11" s="2">
        <v>41</v>
      </c>
      <c r="LI11" s="2">
        <v>3.9</v>
      </c>
      <c r="LJ11" s="2">
        <v>5.6</v>
      </c>
      <c r="LK11" s="2">
        <v>0.2</v>
      </c>
      <c r="LL11" s="2">
        <v>7</v>
      </c>
      <c r="LM11" s="2">
        <v>350</v>
      </c>
      <c r="LN11" s="2">
        <v>2</v>
      </c>
      <c r="LO11" s="2">
        <v>3</v>
      </c>
      <c r="LP11" s="2">
        <v>0.95</v>
      </c>
      <c r="LQ11" s="2">
        <v>0.8</v>
      </c>
      <c r="LR11" s="2">
        <v>0.8</v>
      </c>
      <c r="LS11" s="2">
        <v>0.6</v>
      </c>
      <c r="LT11" s="2">
        <v>0.78</v>
      </c>
      <c r="LU11" s="2">
        <v>0.6</v>
      </c>
      <c r="LV11" s="2">
        <v>0.82</v>
      </c>
      <c r="LW11" s="2">
        <v>3.2</v>
      </c>
      <c r="LX11" s="2">
        <v>0.8</v>
      </c>
      <c r="LY11" s="2">
        <v>0.85</v>
      </c>
      <c r="LZ11" s="2">
        <v>0.75</v>
      </c>
      <c r="MA11" s="2">
        <v>0.8</v>
      </c>
      <c r="MB11" s="2">
        <v>0.8</v>
      </c>
      <c r="MC11" s="2">
        <v>0.8</v>
      </c>
      <c r="MD11" s="2">
        <v>0.82</v>
      </c>
      <c r="ME11" s="2">
        <v>0.2</v>
      </c>
      <c r="MF11" s="2">
        <v>0.33500000000000002</v>
      </c>
      <c r="MG11" s="2">
        <v>0.14000000000000001</v>
      </c>
      <c r="MH11" s="2">
        <v>0.45</v>
      </c>
      <c r="MI11" s="2">
        <v>0.45</v>
      </c>
      <c r="MJ11" s="2">
        <v>0.4</v>
      </c>
      <c r="MK11" s="2">
        <v>0.4</v>
      </c>
      <c r="ML11" s="2">
        <v>1</v>
      </c>
      <c r="MM11" s="2">
        <v>0.85499999999999998</v>
      </c>
      <c r="MN11" s="2">
        <v>2.7000000000000001E-3</v>
      </c>
      <c r="MO11" s="2">
        <v>1</v>
      </c>
      <c r="MP11" s="2">
        <v>0.22</v>
      </c>
      <c r="MQ11" s="2">
        <v>0.23</v>
      </c>
      <c r="MR11" s="2">
        <v>0.22</v>
      </c>
      <c r="MS11" s="2">
        <v>0.4</v>
      </c>
      <c r="MT11" s="2">
        <v>0.8</v>
      </c>
      <c r="MU11" s="2">
        <v>0.75</v>
      </c>
      <c r="MV11" s="2">
        <v>0.85</v>
      </c>
      <c r="MW11" s="2">
        <v>0.75</v>
      </c>
      <c r="MX11" s="2">
        <v>0.6</v>
      </c>
      <c r="MY11" s="2">
        <v>0.82</v>
      </c>
      <c r="MZ11" s="2">
        <v>0.98</v>
      </c>
      <c r="NA11" s="2">
        <v>0.75</v>
      </c>
      <c r="NB11" s="2">
        <v>0.75</v>
      </c>
      <c r="NC11" s="2">
        <v>0.8</v>
      </c>
      <c r="ND11" s="2">
        <v>0.82</v>
      </c>
      <c r="NE11" s="2">
        <v>0.8</v>
      </c>
      <c r="NF11" s="2">
        <v>0.7</v>
      </c>
      <c r="NG11" s="2">
        <v>0.6</v>
      </c>
      <c r="NH11" s="2">
        <v>0.75</v>
      </c>
      <c r="NI11" s="2">
        <v>2.4</v>
      </c>
      <c r="NJ11" s="2">
        <v>0.75</v>
      </c>
      <c r="NK11" s="2">
        <v>0.75</v>
      </c>
      <c r="NL11" s="2">
        <v>0.8</v>
      </c>
      <c r="NM11" s="2">
        <v>0.75</v>
      </c>
      <c r="NN11" s="2">
        <v>0.8</v>
      </c>
      <c r="NO11" s="2">
        <v>0.64</v>
      </c>
      <c r="NP11" s="2">
        <v>0.6</v>
      </c>
      <c r="NQ11" s="2">
        <v>0.75</v>
      </c>
      <c r="NR11" s="2">
        <v>3.2</v>
      </c>
      <c r="NS11" s="2">
        <v>0.75</v>
      </c>
      <c r="NT11" s="2">
        <v>0.75</v>
      </c>
      <c r="NU11" s="2">
        <v>0.8</v>
      </c>
      <c r="NV11" s="2">
        <v>0.6</v>
      </c>
      <c r="NW11" s="2">
        <v>0.8</v>
      </c>
      <c r="NX11" s="2">
        <v>0.1</v>
      </c>
      <c r="OY11" s="2">
        <v>0.13300000000000001</v>
      </c>
      <c r="OZ11" s="2">
        <v>50</v>
      </c>
      <c r="PA11" s="2">
        <v>1.3376999999999999</v>
      </c>
      <c r="PB11" s="2">
        <v>1.3368169646517301E-2</v>
      </c>
      <c r="PC11" s="2">
        <v>6.1813186813186802E-2</v>
      </c>
      <c r="PD11" s="2">
        <v>0.95550000000000002</v>
      </c>
      <c r="PE11" s="2">
        <v>0</v>
      </c>
      <c r="PF11" s="2">
        <v>5</v>
      </c>
      <c r="PG11" s="2">
        <v>2.4500000000000001E-2</v>
      </c>
      <c r="PI11" s="2">
        <v>8</v>
      </c>
      <c r="PJ11" s="2">
        <v>28.95</v>
      </c>
      <c r="PK11" s="2">
        <v>2.8000000000000001E-2</v>
      </c>
      <c r="PL11" s="2">
        <v>3.9</v>
      </c>
      <c r="PM11" s="2">
        <v>22.5</v>
      </c>
      <c r="PN11" s="2">
        <v>22.96</v>
      </c>
      <c r="PO11" s="2">
        <v>38</v>
      </c>
      <c r="PP11" s="2">
        <v>36.4</v>
      </c>
      <c r="PQ11" s="2">
        <v>3.5000000000000001E-3</v>
      </c>
      <c r="PR11" s="2">
        <v>35</v>
      </c>
      <c r="PS11" s="2">
        <v>3.8300000000000001E-2</v>
      </c>
      <c r="PT11" s="2">
        <v>8</v>
      </c>
      <c r="PU11" s="2">
        <v>32</v>
      </c>
      <c r="PV11" s="2">
        <v>3.8300000000000001E-2</v>
      </c>
      <c r="PW11" s="2">
        <v>38</v>
      </c>
      <c r="PX11" s="2">
        <v>30.58</v>
      </c>
      <c r="PY11" s="2">
        <v>13</v>
      </c>
      <c r="PZ11" s="2">
        <v>23.64</v>
      </c>
      <c r="QA11" s="2">
        <v>26.28</v>
      </c>
      <c r="QB11" s="5">
        <v>48</v>
      </c>
      <c r="QC11" s="2">
        <v>130.739</v>
      </c>
      <c r="QD11" s="2">
        <v>79810000</v>
      </c>
      <c r="QE11" s="2">
        <v>8</v>
      </c>
      <c r="QF11" s="2">
        <v>3</v>
      </c>
      <c r="QG11" s="2">
        <v>2</v>
      </c>
      <c r="QH11" s="2">
        <v>2</v>
      </c>
      <c r="QI11" s="2">
        <v>1</v>
      </c>
      <c r="QJ11" s="2">
        <v>0.5</v>
      </c>
      <c r="QK11" s="2">
        <v>0.25</v>
      </c>
      <c r="QL11" s="2">
        <v>0.5</v>
      </c>
      <c r="QM11" s="2">
        <v>1</v>
      </c>
      <c r="QN11" s="2">
        <v>0.5</v>
      </c>
      <c r="QO11" s="2">
        <v>0.2</v>
      </c>
      <c r="QP11" s="2">
        <v>0.2</v>
      </c>
      <c r="QQ11" s="2">
        <v>0.8</v>
      </c>
      <c r="QR11" s="2">
        <v>1.18527760449157E-2</v>
      </c>
      <c r="QS11" s="2">
        <v>9.9812850904553892E-3</v>
      </c>
      <c r="QT11" s="2">
        <v>0.97816593886462799</v>
      </c>
      <c r="QU11" s="2">
        <v>0.19</v>
      </c>
      <c r="QV11" s="2">
        <v>0.13700000000000001</v>
      </c>
      <c r="QW11" s="2">
        <v>0.30299999999999999</v>
      </c>
      <c r="QX11" s="2">
        <v>0</v>
      </c>
      <c r="QY11" s="2">
        <v>0.216</v>
      </c>
      <c r="QZ11" s="2">
        <v>0.1</v>
      </c>
      <c r="RA11" s="2">
        <v>2.5000000000000001E-2</v>
      </c>
      <c r="RB11" s="2">
        <v>0.05</v>
      </c>
      <c r="RC11" s="2">
        <v>0.2</v>
      </c>
      <c r="RD11" s="2">
        <v>0.04</v>
      </c>
      <c r="RE11" s="2">
        <v>0</v>
      </c>
      <c r="RF11" s="2">
        <v>0</v>
      </c>
      <c r="RG11" s="2">
        <v>7.4999999999999997E-2</v>
      </c>
      <c r="RH11" s="2">
        <v>-999</v>
      </c>
      <c r="RI11" s="2">
        <v>-999</v>
      </c>
      <c r="RJ11" s="2">
        <v>-999</v>
      </c>
      <c r="RK11" s="2">
        <v>-999</v>
      </c>
      <c r="RL11" s="2">
        <v>-999</v>
      </c>
      <c r="RM11" s="2">
        <v>-999</v>
      </c>
      <c r="RN11" s="2">
        <v>-999</v>
      </c>
      <c r="RO11" s="2">
        <v>-999</v>
      </c>
      <c r="RP11" s="2">
        <v>-999</v>
      </c>
      <c r="RQ11" s="2">
        <v>-999</v>
      </c>
      <c r="RR11" s="2">
        <v>-999</v>
      </c>
      <c r="RS11" s="2">
        <v>-999</v>
      </c>
      <c r="RT11" s="2">
        <v>-999</v>
      </c>
      <c r="RU11" s="2">
        <v>-999</v>
      </c>
      <c r="RV11" s="2">
        <v>8.6999999999999994E-2</v>
      </c>
      <c r="RW11" s="2">
        <v>8.6999999999999994E-2</v>
      </c>
      <c r="RX11" s="2">
        <v>0</v>
      </c>
      <c r="RZ11" s="2">
        <v>0</v>
      </c>
      <c r="SA11" s="2">
        <v>0</v>
      </c>
      <c r="SB11" s="2">
        <v>0.31</v>
      </c>
      <c r="SC11" s="2">
        <v>0.03</v>
      </c>
      <c r="SD11" s="2">
        <v>0</v>
      </c>
      <c r="SE11" s="2">
        <v>0.31</v>
      </c>
      <c r="SF11" s="2">
        <v>0</v>
      </c>
      <c r="SG11" s="2">
        <v>0</v>
      </c>
      <c r="SH11" s="2">
        <v>0.32</v>
      </c>
      <c r="SI11" s="2">
        <v>0</v>
      </c>
      <c r="SJ11" s="2">
        <v>0</v>
      </c>
      <c r="SK11" s="2">
        <v>0.03</v>
      </c>
      <c r="SL11" s="2">
        <v>0</v>
      </c>
      <c r="SM11" s="2">
        <v>0.67</v>
      </c>
      <c r="SN11" s="2">
        <v>0</v>
      </c>
      <c r="SO11" s="2">
        <v>0.01</v>
      </c>
      <c r="SP11" s="2">
        <v>0.3</v>
      </c>
      <c r="SQ11" s="2">
        <v>0</v>
      </c>
      <c r="SR11" s="2">
        <v>0</v>
      </c>
      <c r="SS11" s="2">
        <v>0</v>
      </c>
      <c r="ST11" s="2">
        <v>0</v>
      </c>
      <c r="SU11" s="2">
        <v>0</v>
      </c>
      <c r="SV11" s="2">
        <v>0</v>
      </c>
      <c r="SW11" s="2">
        <v>0</v>
      </c>
      <c r="SX11" s="2">
        <v>0.02</v>
      </c>
      <c r="SY11" s="2">
        <v>0</v>
      </c>
      <c r="SZ11" s="2">
        <v>0</v>
      </c>
      <c r="TA11" s="2">
        <v>0</v>
      </c>
      <c r="TB11" s="2">
        <v>0.01</v>
      </c>
      <c r="TC11" s="2">
        <v>0.38</v>
      </c>
      <c r="TD11" s="2">
        <v>0</v>
      </c>
      <c r="TE11" s="2">
        <v>0</v>
      </c>
      <c r="TF11" s="2">
        <v>0</v>
      </c>
      <c r="TG11" s="2">
        <v>0</v>
      </c>
      <c r="TH11" s="2">
        <v>0</v>
      </c>
      <c r="TI11" s="2">
        <v>0</v>
      </c>
      <c r="TJ11" s="2">
        <v>0.6</v>
      </c>
      <c r="TK11" s="2">
        <v>0.01</v>
      </c>
      <c r="TL11" s="2">
        <v>0</v>
      </c>
      <c r="TM11" s="2">
        <v>0</v>
      </c>
      <c r="TN11" s="2">
        <v>0</v>
      </c>
      <c r="TO11" s="2">
        <v>0.11</v>
      </c>
      <c r="TP11" s="2">
        <v>0.88</v>
      </c>
      <c r="TQ11" s="2">
        <v>0</v>
      </c>
      <c r="TR11" s="2">
        <v>0</v>
      </c>
      <c r="TS11" s="2">
        <v>0</v>
      </c>
      <c r="TT11" s="2">
        <v>0</v>
      </c>
      <c r="TU11" s="2">
        <v>0</v>
      </c>
      <c r="TV11" s="2">
        <v>0</v>
      </c>
      <c r="TW11" s="2">
        <v>0</v>
      </c>
      <c r="TX11" s="2">
        <v>0.01</v>
      </c>
      <c r="TY11" s="2">
        <v>0</v>
      </c>
      <c r="TZ11" s="2">
        <v>0</v>
      </c>
      <c r="UA11" s="2">
        <v>0</v>
      </c>
      <c r="UB11" s="2">
        <v>0.01</v>
      </c>
      <c r="UC11" s="2">
        <v>0.22900000000000001</v>
      </c>
      <c r="UD11" s="2">
        <v>0</v>
      </c>
      <c r="UE11" s="2">
        <v>0</v>
      </c>
      <c r="UF11" s="2">
        <v>0</v>
      </c>
      <c r="UG11" s="2">
        <v>0</v>
      </c>
      <c r="UH11" s="2">
        <v>0</v>
      </c>
      <c r="UI11" s="2">
        <v>0</v>
      </c>
      <c r="UJ11" s="2">
        <v>0.76</v>
      </c>
      <c r="UK11" s="2">
        <v>1E-3</v>
      </c>
      <c r="UL11" s="2">
        <v>0</v>
      </c>
      <c r="UM11" s="2">
        <v>0</v>
      </c>
      <c r="UN11" s="2">
        <v>0.4</v>
      </c>
      <c r="UO11" s="2">
        <v>0</v>
      </c>
      <c r="UP11" s="2">
        <v>0</v>
      </c>
      <c r="UQ11" s="2">
        <v>0</v>
      </c>
      <c r="UR11" s="2">
        <v>0</v>
      </c>
      <c r="US11" s="2">
        <v>0</v>
      </c>
      <c r="UT11" s="2">
        <v>0</v>
      </c>
      <c r="UU11" s="2">
        <v>0</v>
      </c>
      <c r="UV11" s="2">
        <v>0.2</v>
      </c>
      <c r="UW11" s="2">
        <v>0</v>
      </c>
      <c r="UX11" s="2">
        <v>0</v>
      </c>
      <c r="UY11" s="2">
        <v>1.2E-2</v>
      </c>
      <c r="UZ11" s="2">
        <v>0</v>
      </c>
      <c r="VA11" s="2">
        <v>0</v>
      </c>
      <c r="VB11" s="2">
        <v>0.11899999999999999</v>
      </c>
      <c r="VC11" s="2">
        <v>0.73</v>
      </c>
      <c r="VE11" s="2">
        <v>0</v>
      </c>
      <c r="VF11" s="2">
        <v>0</v>
      </c>
      <c r="VG11" s="2">
        <v>0</v>
      </c>
      <c r="VH11" s="2">
        <v>0</v>
      </c>
      <c r="VJ11" s="2">
        <v>0.15</v>
      </c>
      <c r="VK11" s="2">
        <v>1E-3</v>
      </c>
      <c r="VL11" s="2">
        <v>0</v>
      </c>
      <c r="VM11" s="2">
        <v>0</v>
      </c>
      <c r="VN11" s="2">
        <v>0</v>
      </c>
      <c r="VO11" s="2">
        <v>0.21</v>
      </c>
      <c r="VP11" s="2">
        <v>0.78</v>
      </c>
      <c r="VQ11" s="2">
        <v>0</v>
      </c>
      <c r="VR11" s="2">
        <v>0</v>
      </c>
      <c r="VS11" s="2">
        <v>0</v>
      </c>
      <c r="VT11" s="2">
        <v>0</v>
      </c>
      <c r="VU11" s="2">
        <v>0</v>
      </c>
      <c r="VV11" s="2">
        <v>0</v>
      </c>
      <c r="VX11" s="2">
        <v>0</v>
      </c>
      <c r="VY11" s="2">
        <v>0.01</v>
      </c>
      <c r="VZ11" s="2">
        <v>0</v>
      </c>
      <c r="WA11" s="2">
        <v>0</v>
      </c>
      <c r="WB11" s="2">
        <v>0</v>
      </c>
      <c r="WC11" s="2">
        <v>0.05</v>
      </c>
      <c r="WD11" s="2">
        <v>0.11</v>
      </c>
      <c r="WE11" s="2">
        <v>0</v>
      </c>
      <c r="WF11" s="2">
        <v>0</v>
      </c>
      <c r="WG11" s="2">
        <v>0</v>
      </c>
      <c r="WH11" s="2">
        <v>0</v>
      </c>
      <c r="WI11" s="2">
        <v>0</v>
      </c>
      <c r="WJ11" s="2">
        <v>0</v>
      </c>
      <c r="WK11" s="2">
        <v>0</v>
      </c>
      <c r="WL11" s="2">
        <v>1E-3</v>
      </c>
      <c r="WM11" s="2">
        <v>0.83899999999999997</v>
      </c>
      <c r="WN11" s="2">
        <v>0</v>
      </c>
      <c r="WO11" s="2">
        <v>0</v>
      </c>
      <c r="WP11" s="2">
        <v>0</v>
      </c>
      <c r="WQ11" s="2">
        <v>0.26</v>
      </c>
      <c r="WR11" s="2">
        <v>0</v>
      </c>
      <c r="WS11" s="2">
        <v>0</v>
      </c>
      <c r="WT11" s="2">
        <v>0</v>
      </c>
      <c r="WU11" s="2">
        <v>0</v>
      </c>
      <c r="WV11" s="2">
        <v>0</v>
      </c>
      <c r="WW11" s="2">
        <v>0</v>
      </c>
      <c r="WX11" s="2">
        <v>0</v>
      </c>
      <c r="WY11" s="2">
        <v>0.01</v>
      </c>
      <c r="WZ11" s="2">
        <v>0.73</v>
      </c>
      <c r="XA11" s="2">
        <v>0</v>
      </c>
      <c r="XB11" s="2">
        <v>0</v>
      </c>
      <c r="XC11" s="2">
        <v>0</v>
      </c>
      <c r="XD11" s="2">
        <v>0.44</v>
      </c>
      <c r="XE11" s="2">
        <v>0</v>
      </c>
      <c r="XF11" s="2">
        <v>0</v>
      </c>
      <c r="XG11" s="2">
        <v>0</v>
      </c>
      <c r="XH11" s="2">
        <v>0</v>
      </c>
      <c r="XI11" s="2">
        <v>0</v>
      </c>
      <c r="XJ11" s="2">
        <v>0</v>
      </c>
      <c r="XK11" s="2">
        <v>0.4</v>
      </c>
      <c r="XL11" s="2">
        <v>0.01</v>
      </c>
      <c r="XM11" s="2">
        <v>0.15</v>
      </c>
      <c r="XN11" s="2">
        <v>0</v>
      </c>
      <c r="XO11" s="2">
        <v>0</v>
      </c>
      <c r="XP11" s="2">
        <v>0</v>
      </c>
      <c r="XQ11" s="2">
        <v>0.2</v>
      </c>
      <c r="XR11" s="2">
        <v>0</v>
      </c>
      <c r="XS11" s="2">
        <v>0</v>
      </c>
      <c r="XT11" s="2">
        <v>0</v>
      </c>
      <c r="XU11" s="2">
        <v>0</v>
      </c>
      <c r="XV11" s="2">
        <v>0</v>
      </c>
      <c r="XW11" s="2">
        <v>0.1</v>
      </c>
      <c r="XX11" s="2">
        <v>0.63</v>
      </c>
      <c r="XY11" s="2">
        <v>7.0000000000000007E-2</v>
      </c>
      <c r="XZ11" s="2">
        <v>0</v>
      </c>
      <c r="YA11" s="2">
        <v>0</v>
      </c>
      <c r="YB11" s="2">
        <v>0</v>
      </c>
      <c r="YC11" s="2">
        <v>0.11899999999999999</v>
      </c>
      <c r="YD11" s="2">
        <v>0.73</v>
      </c>
      <c r="YF11" s="2">
        <v>0</v>
      </c>
      <c r="YG11" s="2">
        <v>0</v>
      </c>
      <c r="YH11" s="2">
        <v>0</v>
      </c>
      <c r="YI11" s="2">
        <v>0</v>
      </c>
      <c r="YK11" s="2">
        <v>0.15</v>
      </c>
      <c r="YL11" s="2">
        <v>1E-3</v>
      </c>
      <c r="YM11" s="2">
        <v>0</v>
      </c>
      <c r="YN11" s="2">
        <v>0</v>
      </c>
      <c r="YO11" s="2">
        <v>0</v>
      </c>
      <c r="YP11" s="2">
        <v>0</v>
      </c>
      <c r="YQ11" s="2">
        <v>0.26</v>
      </c>
      <c r="YR11" s="2">
        <v>0</v>
      </c>
      <c r="YS11" s="2">
        <v>0</v>
      </c>
      <c r="YT11" s="2">
        <v>0</v>
      </c>
      <c r="YU11" s="2">
        <v>0</v>
      </c>
      <c r="YV11" s="2">
        <v>0</v>
      </c>
      <c r="YW11" s="2">
        <v>0</v>
      </c>
      <c r="YX11" s="2">
        <v>0</v>
      </c>
      <c r="YY11" s="2">
        <v>0.01</v>
      </c>
      <c r="YZ11" s="2">
        <v>0.73</v>
      </c>
      <c r="ZA11" s="2">
        <v>0</v>
      </c>
      <c r="ZB11" s="2">
        <v>0</v>
      </c>
      <c r="ZC11" s="2">
        <v>0</v>
      </c>
      <c r="ZD11" s="2">
        <v>0.44</v>
      </c>
      <c r="ZE11" s="2">
        <v>0</v>
      </c>
      <c r="ZF11" s="2">
        <v>0</v>
      </c>
      <c r="ZG11" s="2">
        <v>0</v>
      </c>
      <c r="ZH11" s="2">
        <v>0</v>
      </c>
      <c r="ZI11" s="2">
        <v>0</v>
      </c>
      <c r="ZJ11" s="2">
        <v>0</v>
      </c>
      <c r="ZK11" s="2">
        <v>0.4</v>
      </c>
      <c r="ZL11" s="2">
        <v>0.01</v>
      </c>
      <c r="ZM11" s="2">
        <v>0.15</v>
      </c>
      <c r="ZN11" s="2">
        <v>0</v>
      </c>
      <c r="ZO11" s="2">
        <v>0</v>
      </c>
      <c r="ZP11" s="2">
        <v>0.01</v>
      </c>
      <c r="ZQ11" s="2">
        <v>0.45</v>
      </c>
      <c r="ZR11" s="2">
        <v>0</v>
      </c>
      <c r="ZS11" s="2">
        <v>0</v>
      </c>
      <c r="ZT11" s="2">
        <v>0</v>
      </c>
      <c r="ZU11" s="2">
        <v>0</v>
      </c>
      <c r="ZV11" s="2">
        <v>0</v>
      </c>
      <c r="ZW11" s="2">
        <v>0</v>
      </c>
      <c r="ZX11" s="2">
        <v>0.14000000000000001</v>
      </c>
      <c r="ZY11" s="2">
        <v>1.6E-2</v>
      </c>
      <c r="ZZ11" s="2">
        <v>0.38400000000000001</v>
      </c>
      <c r="AAA11" s="2">
        <v>0.1</v>
      </c>
      <c r="AAB11" s="2">
        <v>0</v>
      </c>
      <c r="AAC11" s="2">
        <v>0.01</v>
      </c>
      <c r="AAD11" s="2">
        <v>0.38</v>
      </c>
      <c r="AAE11" s="2">
        <v>0</v>
      </c>
      <c r="AAF11" s="2">
        <v>0</v>
      </c>
      <c r="AAG11" s="2">
        <v>0</v>
      </c>
      <c r="AAH11" s="2">
        <v>0</v>
      </c>
      <c r="AAI11" s="2">
        <v>0</v>
      </c>
      <c r="AAJ11" s="2">
        <v>0</v>
      </c>
      <c r="AAK11" s="2">
        <v>6.9000000000000006E-2</v>
      </c>
      <c r="AAL11" s="2">
        <v>1E-3</v>
      </c>
      <c r="AAM11" s="2">
        <v>0.44</v>
      </c>
      <c r="AAN11" s="2">
        <v>0</v>
      </c>
      <c r="AAO11" s="2">
        <v>0</v>
      </c>
      <c r="AAP11" s="2">
        <v>0</v>
      </c>
      <c r="AAQ11" s="2">
        <v>0.12</v>
      </c>
      <c r="AAR11" s="2">
        <v>0</v>
      </c>
      <c r="AAS11" s="2">
        <v>0</v>
      </c>
      <c r="AAT11" s="2">
        <v>0</v>
      </c>
      <c r="AAU11" s="2">
        <v>0</v>
      </c>
      <c r="AAV11" s="2">
        <v>0</v>
      </c>
      <c r="AAW11" s="2">
        <v>0</v>
      </c>
      <c r="AAX11" s="2">
        <v>0.18</v>
      </c>
      <c r="AAY11" s="2">
        <v>0.01</v>
      </c>
      <c r="AAZ11" s="2">
        <v>0.69</v>
      </c>
      <c r="ABA11" s="2">
        <v>0</v>
      </c>
      <c r="ABB11" s="2">
        <v>0</v>
      </c>
      <c r="ABC11" s="2">
        <v>0.01</v>
      </c>
      <c r="ABD11" s="2">
        <v>0.45</v>
      </c>
      <c r="ABE11" s="2">
        <v>0</v>
      </c>
      <c r="ABF11" s="2">
        <v>0</v>
      </c>
      <c r="ABG11" s="2">
        <v>0</v>
      </c>
      <c r="ABH11" s="2">
        <v>0</v>
      </c>
      <c r="ABI11" s="2">
        <v>0</v>
      </c>
      <c r="ABJ11" s="2">
        <v>0</v>
      </c>
      <c r="ABK11" s="2">
        <v>0.14000000000000001</v>
      </c>
      <c r="ABL11" s="2">
        <v>1.6E-2</v>
      </c>
      <c r="ABM11" s="2">
        <v>0.38400000000000001</v>
      </c>
      <c r="ABN11" s="2">
        <v>0.1</v>
      </c>
      <c r="ABO11" s="2">
        <v>0</v>
      </c>
      <c r="ABP11" s="2">
        <v>0.01</v>
      </c>
      <c r="ABQ11" s="2">
        <v>0.38</v>
      </c>
      <c r="ABR11" s="2">
        <v>0</v>
      </c>
      <c r="ABS11" s="2">
        <v>0</v>
      </c>
      <c r="ABT11" s="2">
        <v>0</v>
      </c>
      <c r="ABU11" s="2">
        <v>0</v>
      </c>
      <c r="ABV11" s="2">
        <v>0</v>
      </c>
      <c r="ABW11" s="2">
        <v>0</v>
      </c>
      <c r="ABX11" s="2">
        <v>6.9000000000000006E-2</v>
      </c>
      <c r="ABY11" s="2">
        <v>1E-3</v>
      </c>
      <c r="ABZ11" s="2">
        <v>0.44</v>
      </c>
      <c r="ACA11" s="2">
        <v>0</v>
      </c>
      <c r="ACB11" s="2">
        <v>0</v>
      </c>
      <c r="ACC11" s="2">
        <v>0</v>
      </c>
      <c r="ACD11" s="2">
        <v>0.12</v>
      </c>
      <c r="ACE11" s="2">
        <v>0</v>
      </c>
      <c r="ACF11" s="2">
        <v>0</v>
      </c>
      <c r="ACG11" s="2">
        <v>0</v>
      </c>
      <c r="ACH11" s="2">
        <v>0</v>
      </c>
      <c r="ACI11" s="2">
        <v>0</v>
      </c>
      <c r="ACJ11" s="2">
        <v>0</v>
      </c>
      <c r="ACK11" s="2">
        <v>0.18</v>
      </c>
      <c r="ACL11" s="2">
        <v>0.01</v>
      </c>
      <c r="ACM11" s="2">
        <v>0.69</v>
      </c>
      <c r="ACU11" s="2">
        <v>0</v>
      </c>
      <c r="ACV11" s="2">
        <v>0</v>
      </c>
      <c r="ACW11" s="2">
        <v>0.8</v>
      </c>
      <c r="ACX11" s="2">
        <v>0</v>
      </c>
      <c r="ACY11" s="2">
        <v>0</v>
      </c>
      <c r="ACZ11" s="2">
        <v>0</v>
      </c>
      <c r="ADA11" s="2">
        <v>0</v>
      </c>
      <c r="ADB11" s="2">
        <v>0.19</v>
      </c>
      <c r="ADC11" s="2">
        <v>0.01</v>
      </c>
      <c r="ADD11" s="2">
        <v>0</v>
      </c>
      <c r="ADE11" s="2">
        <v>0</v>
      </c>
      <c r="ADF11" s="2">
        <v>1</v>
      </c>
      <c r="ADG11" s="2">
        <v>0</v>
      </c>
      <c r="ADH11" s="2">
        <v>0</v>
      </c>
      <c r="ADI11" s="2">
        <v>0</v>
      </c>
      <c r="ADJ11" s="2">
        <v>0</v>
      </c>
      <c r="ADK11" s="2">
        <v>0</v>
      </c>
      <c r="ADL11" s="2">
        <v>0</v>
      </c>
      <c r="ADM11" s="2">
        <v>0</v>
      </c>
      <c r="ADN11" s="2">
        <v>0</v>
      </c>
      <c r="ADO11" s="2">
        <v>0.28000000000000003</v>
      </c>
      <c r="ADP11" s="2">
        <v>0</v>
      </c>
      <c r="ADQ11" s="2">
        <v>0</v>
      </c>
      <c r="ADR11" s="2">
        <v>0</v>
      </c>
      <c r="ADS11" s="2">
        <v>0.1</v>
      </c>
      <c r="ADT11" s="2">
        <v>0.06</v>
      </c>
      <c r="ADU11" s="2">
        <v>0.56000000000000005</v>
      </c>
      <c r="ADV11" s="2">
        <v>0</v>
      </c>
      <c r="ADW11" s="2">
        <v>0</v>
      </c>
      <c r="ADX11" s="2">
        <v>1</v>
      </c>
      <c r="ADY11" s="2">
        <v>0.1</v>
      </c>
      <c r="ADZ11" s="2">
        <v>0.9</v>
      </c>
      <c r="AEA11" s="2">
        <v>0</v>
      </c>
      <c r="AEB11" s="2">
        <v>1</v>
      </c>
      <c r="AEC11" s="2">
        <v>0</v>
      </c>
      <c r="AED11" s="2">
        <v>0</v>
      </c>
      <c r="AEE11" s="2">
        <v>0</v>
      </c>
      <c r="AEF11" s="2">
        <v>0</v>
      </c>
      <c r="AEG11" s="2">
        <v>0</v>
      </c>
      <c r="AEH11" s="2">
        <v>1</v>
      </c>
      <c r="AEI11" s="2">
        <v>0</v>
      </c>
      <c r="AEJ11" s="2">
        <v>0</v>
      </c>
      <c r="AEK11" s="2">
        <v>0</v>
      </c>
      <c r="AEL11" s="2">
        <v>1</v>
      </c>
      <c r="AEM11" s="2">
        <v>0</v>
      </c>
      <c r="AEN11" s="2">
        <v>0</v>
      </c>
      <c r="AEO11" s="2">
        <v>0</v>
      </c>
      <c r="AEP11" s="2">
        <v>0</v>
      </c>
      <c r="AEQ11" s="2">
        <v>1</v>
      </c>
      <c r="AER11" s="2">
        <v>0</v>
      </c>
      <c r="AES11" s="2">
        <v>0</v>
      </c>
      <c r="AET11" s="2">
        <v>0</v>
      </c>
      <c r="AEU11" s="2">
        <v>0</v>
      </c>
      <c r="AEV11" s="2">
        <v>0</v>
      </c>
      <c r="AEW11" s="2">
        <v>0.01</v>
      </c>
      <c r="AEX11" s="2">
        <v>0</v>
      </c>
      <c r="AEY11" s="2">
        <v>0</v>
      </c>
      <c r="AEZ11" s="2">
        <v>0</v>
      </c>
      <c r="AFA11" s="2">
        <v>0</v>
      </c>
      <c r="AFB11" s="2">
        <v>0</v>
      </c>
      <c r="AFC11" s="2">
        <v>0</v>
      </c>
      <c r="AFD11" s="2">
        <v>0</v>
      </c>
      <c r="AFE11" s="2">
        <v>0.3</v>
      </c>
      <c r="AFF11" s="2">
        <v>0</v>
      </c>
      <c r="AFG11" s="2">
        <v>0.7</v>
      </c>
      <c r="AFH11" s="2">
        <v>0</v>
      </c>
      <c r="AFI11" s="2">
        <v>0</v>
      </c>
      <c r="AFJ11" s="2">
        <v>0</v>
      </c>
      <c r="AFK11" s="2">
        <v>0</v>
      </c>
      <c r="AFL11" s="2">
        <v>0</v>
      </c>
      <c r="AFM11" s="2">
        <v>0</v>
      </c>
      <c r="AGB11" s="2">
        <v>0.37380000000000002</v>
      </c>
      <c r="AGC11" s="2">
        <v>0.26700000000000002</v>
      </c>
      <c r="AGD11" s="2">
        <v>60</v>
      </c>
      <c r="AGE11" s="2">
        <v>3.5</v>
      </c>
      <c r="AGF11" s="2">
        <v>3.8</v>
      </c>
      <c r="AGG11" s="2">
        <v>2.6753999999999998</v>
      </c>
      <c r="AGH11" s="2">
        <v>2.474745</v>
      </c>
      <c r="AGI11" s="2">
        <v>3.746</v>
      </c>
      <c r="AGJ11" s="2">
        <v>3.5</v>
      </c>
      <c r="AGK11" s="2">
        <v>0.28999999999999998</v>
      </c>
      <c r="AGL11" s="2">
        <v>0.10199999999999999</v>
      </c>
      <c r="AGM11" s="2">
        <v>0.1</v>
      </c>
      <c r="AGN11" s="2">
        <v>0.28999999999999998</v>
      </c>
      <c r="AGO11" s="2">
        <v>0.224</v>
      </c>
      <c r="AGP11" s="2">
        <v>0.21</v>
      </c>
      <c r="AGQ11" s="2">
        <v>2.5</v>
      </c>
      <c r="AGR11" s="2">
        <v>3</v>
      </c>
      <c r="AGS11" s="2">
        <v>1.911</v>
      </c>
      <c r="AGT11" s="2">
        <v>1.7676750000000001</v>
      </c>
      <c r="AGU11" s="2">
        <v>0.26800000000000002</v>
      </c>
      <c r="AGV11" s="2">
        <v>2.5</v>
      </c>
      <c r="AGW11" s="2">
        <v>3.5</v>
      </c>
      <c r="AGX11" s="2">
        <v>3.8219999999999898</v>
      </c>
      <c r="AGY11" s="2">
        <v>2.6753999999999998</v>
      </c>
      <c r="AGZ11" s="2">
        <v>2.474745</v>
      </c>
      <c r="AHA11" s="2">
        <v>3.746</v>
      </c>
      <c r="AHB11" s="2">
        <v>3.5</v>
      </c>
      <c r="AHC11" s="2">
        <v>11</v>
      </c>
      <c r="AHD11" s="2">
        <v>13</v>
      </c>
      <c r="AHE11" s="2">
        <v>16</v>
      </c>
      <c r="AHF11" s="2">
        <v>9.25</v>
      </c>
      <c r="AHG11" s="2">
        <v>14</v>
      </c>
      <c r="AHH11" s="2">
        <v>7.0000000000000007E-2</v>
      </c>
      <c r="AHI11" s="2">
        <v>1.02</v>
      </c>
      <c r="AHJ11" s="2">
        <v>0.1</v>
      </c>
      <c r="AHK11" s="2">
        <v>0</v>
      </c>
      <c r="AHL11" s="2">
        <v>0</v>
      </c>
      <c r="AHM11" s="2">
        <v>0</v>
      </c>
      <c r="AHN11" s="2">
        <v>0</v>
      </c>
      <c r="AHO11" s="2">
        <v>0</v>
      </c>
      <c r="AHP11" s="2">
        <v>0</v>
      </c>
      <c r="AHQ11" s="2">
        <v>94.38</v>
      </c>
      <c r="AHR11" s="2">
        <v>10.8</v>
      </c>
      <c r="AHS11" s="2">
        <v>23.4</v>
      </c>
      <c r="AHT11" s="2">
        <v>2.2360000000000002</v>
      </c>
      <c r="AHU11" s="2">
        <v>0.4</v>
      </c>
      <c r="AHV11" s="2">
        <v>0.6</v>
      </c>
      <c r="AHW11" s="2">
        <v>0.9</v>
      </c>
      <c r="AHX11" s="2">
        <v>0.45</v>
      </c>
      <c r="AHY11" s="2">
        <v>0.3</v>
      </c>
      <c r="AHZ11" s="2">
        <v>1316</v>
      </c>
      <c r="AIA11" s="2">
        <v>105</v>
      </c>
      <c r="AIB11" s="2">
        <v>11520</v>
      </c>
      <c r="AIC11" s="2">
        <v>150</v>
      </c>
      <c r="AID11" s="2">
        <v>0</v>
      </c>
      <c r="AIE11" s="2">
        <v>0</v>
      </c>
      <c r="AIF11" s="2">
        <v>0</v>
      </c>
      <c r="AIG11" s="2">
        <v>0</v>
      </c>
      <c r="AIH11" s="2">
        <v>0</v>
      </c>
      <c r="AII11" s="2">
        <v>0</v>
      </c>
      <c r="AIJ11" s="2">
        <v>0</v>
      </c>
      <c r="AIK11" s="2">
        <v>0</v>
      </c>
      <c r="AIL11" s="2">
        <v>0</v>
      </c>
      <c r="AIM11" s="2">
        <v>0</v>
      </c>
      <c r="AIN11" s="2">
        <v>0</v>
      </c>
      <c r="AIO11" s="2">
        <v>0</v>
      </c>
      <c r="AIP11" s="2">
        <v>-999</v>
      </c>
      <c r="AIQ11" s="2">
        <v>-999</v>
      </c>
      <c r="AIR11" s="2">
        <v>-999</v>
      </c>
      <c r="AIS11" s="2">
        <v>-999</v>
      </c>
      <c r="AIT11" s="2">
        <v>-999</v>
      </c>
      <c r="AIU11" s="2">
        <v>-999</v>
      </c>
      <c r="AIV11" s="2">
        <v>-999</v>
      </c>
      <c r="AIW11" s="2">
        <v>-999</v>
      </c>
      <c r="AIX11" s="2">
        <v>-999</v>
      </c>
      <c r="AIY11" s="2">
        <v>-999</v>
      </c>
      <c r="AIZ11" s="2">
        <v>-999</v>
      </c>
      <c r="AJA11" s="2">
        <v>-999</v>
      </c>
      <c r="AJB11" s="2">
        <v>1200</v>
      </c>
      <c r="AJC11" s="2">
        <v>800</v>
      </c>
      <c r="AJD11" s="2">
        <v>800</v>
      </c>
      <c r="AJE11" s="2">
        <v>4335</v>
      </c>
      <c r="AJF11" s="2">
        <v>4525</v>
      </c>
      <c r="AJG11" s="2">
        <v>6625</v>
      </c>
      <c r="AJH11" s="2">
        <v>4074</v>
      </c>
      <c r="AJI11" s="2">
        <v>2845</v>
      </c>
      <c r="AJJ11" s="2">
        <v>1131.5</v>
      </c>
      <c r="AJK11" s="2">
        <v>3076</v>
      </c>
      <c r="AJL11" s="2">
        <v>3083</v>
      </c>
      <c r="AJM11" s="2">
        <v>7289</v>
      </c>
      <c r="AJN11" s="2">
        <v>3998</v>
      </c>
      <c r="AJO11" s="2">
        <v>3998</v>
      </c>
      <c r="AJP11" s="2">
        <v>850</v>
      </c>
      <c r="AJQ11" s="2">
        <v>3678</v>
      </c>
      <c r="AJR11" s="2">
        <v>3880</v>
      </c>
      <c r="AJS11" s="2">
        <v>167.02500000000001</v>
      </c>
      <c r="AJT11" s="2">
        <v>74.266037735848997</v>
      </c>
      <c r="AJU11" s="8">
        <v>3.358E-5</v>
      </c>
      <c r="AJV11" s="2">
        <v>1.0099</v>
      </c>
      <c r="AJW11" s="8">
        <v>5.8769999999999998E-6</v>
      </c>
      <c r="AJX11" s="2">
        <v>2.6086956521739101E-4</v>
      </c>
      <c r="AJY11" s="2">
        <v>6.3739130434782503</v>
      </c>
      <c r="AJZ11" s="8">
        <v>5.2173913043478202E-5</v>
      </c>
      <c r="AKA11" s="2">
        <v>1</v>
      </c>
      <c r="AKB11" s="2">
        <v>1</v>
      </c>
      <c r="AKC11" s="2">
        <v>1</v>
      </c>
      <c r="AKD11" s="2">
        <v>1</v>
      </c>
      <c r="AKE11" s="2">
        <v>1</v>
      </c>
      <c r="AKF11" s="2">
        <v>1</v>
      </c>
      <c r="AKG11" s="2">
        <v>1</v>
      </c>
      <c r="AKH11" s="2">
        <v>0.1</v>
      </c>
      <c r="AKI11" s="2">
        <v>1</v>
      </c>
      <c r="AKJ11" s="2">
        <v>1</v>
      </c>
      <c r="AKK11" s="2">
        <v>1</v>
      </c>
      <c r="AKL11" s="2">
        <v>1</v>
      </c>
      <c r="AKM11" s="2">
        <v>1</v>
      </c>
      <c r="AKN11" s="2">
        <v>0.1</v>
      </c>
      <c r="AKO11" s="2">
        <v>1</v>
      </c>
      <c r="AKP11" s="2">
        <v>1</v>
      </c>
      <c r="AKQ11" s="2">
        <v>1</v>
      </c>
      <c r="AKR11" s="2">
        <v>1</v>
      </c>
      <c r="AKS11" s="2">
        <v>1</v>
      </c>
      <c r="AKT11" s="2">
        <v>1</v>
      </c>
      <c r="AKU11" s="2">
        <v>1</v>
      </c>
      <c r="AKV11" s="2">
        <v>1</v>
      </c>
      <c r="AKW11" s="2">
        <v>1</v>
      </c>
      <c r="AKX11" s="2">
        <v>1</v>
      </c>
      <c r="AKY11" s="2">
        <v>1</v>
      </c>
      <c r="AKZ11" s="2">
        <v>1</v>
      </c>
      <c r="ALA11" s="2">
        <v>1</v>
      </c>
      <c r="ALB11" s="2">
        <v>1</v>
      </c>
      <c r="ALC11" s="2">
        <v>1</v>
      </c>
      <c r="ALD11" s="2">
        <v>1</v>
      </c>
      <c r="ALE11" s="2">
        <v>1</v>
      </c>
      <c r="ALF11" s="2">
        <v>1</v>
      </c>
      <c r="ALG11" s="2">
        <v>1</v>
      </c>
      <c r="ALH11" s="2">
        <v>1</v>
      </c>
      <c r="ALI11" s="2">
        <v>1</v>
      </c>
      <c r="ALJ11" s="2">
        <v>1</v>
      </c>
      <c r="ALK11" s="2">
        <v>1</v>
      </c>
      <c r="ALL11" s="2">
        <v>1</v>
      </c>
      <c r="ALM11" s="2">
        <v>1</v>
      </c>
      <c r="ALN11" s="2">
        <v>1</v>
      </c>
      <c r="ALO11" s="2">
        <v>1</v>
      </c>
      <c r="ALP11" s="2">
        <v>1</v>
      </c>
      <c r="ALQ11" s="2">
        <v>300</v>
      </c>
      <c r="ALR11" s="2">
        <v>150</v>
      </c>
      <c r="ALS11" s="2">
        <v>150</v>
      </c>
      <c r="ALT11" s="2">
        <v>151.72999999999999</v>
      </c>
      <c r="ALU11" s="2">
        <v>131.62</v>
      </c>
      <c r="ALV11" s="2">
        <v>62.34</v>
      </c>
      <c r="ALW11" s="2">
        <v>42.49</v>
      </c>
      <c r="ALX11" s="2">
        <v>28.89</v>
      </c>
      <c r="ALY11" s="2">
        <v>13.77</v>
      </c>
      <c r="ALZ11" s="2">
        <v>143.22</v>
      </c>
      <c r="AMA11" s="2">
        <v>43.78</v>
      </c>
      <c r="AMB11" s="2">
        <v>113.41</v>
      </c>
      <c r="AMC11" s="2">
        <v>71.94</v>
      </c>
      <c r="AMD11" s="2">
        <v>71.94</v>
      </c>
      <c r="AME11" s="2">
        <v>24.82</v>
      </c>
      <c r="AMF11" s="2">
        <v>24.26</v>
      </c>
      <c r="AMG11" s="2">
        <v>71.37</v>
      </c>
      <c r="AMH11" s="2">
        <v>0</v>
      </c>
      <c r="AMI11" s="2">
        <v>0</v>
      </c>
      <c r="AMJ11" s="2">
        <v>0</v>
      </c>
      <c r="AMK11" s="2">
        <v>0</v>
      </c>
      <c r="AML11" s="9">
        <v>5.1110111624483789E-3</v>
      </c>
      <c r="AMM11" s="2">
        <v>0.34775319949298766</v>
      </c>
      <c r="AMN11" s="2">
        <v>0</v>
      </c>
      <c r="AMO11" s="2">
        <v>0</v>
      </c>
      <c r="AMP11" s="2">
        <v>0</v>
      </c>
      <c r="AMQ11" s="2">
        <v>0</v>
      </c>
      <c r="AMR11" s="2">
        <v>0.27285984925924411</v>
      </c>
      <c r="AMS11" s="2">
        <v>0</v>
      </c>
      <c r="AMT11" s="2">
        <v>0</v>
      </c>
      <c r="AMU11" s="2">
        <v>0.34380068419402759</v>
      </c>
      <c r="AMV11" s="2">
        <v>5.4517452399449372E-3</v>
      </c>
      <c r="AMW11" s="2">
        <v>0</v>
      </c>
      <c r="AMX11" s="2">
        <v>2.502351065134726E-2</v>
      </c>
      <c r="AMY11" s="2">
        <v>1.3034433554879601</v>
      </c>
      <c r="AMZ11" s="2">
        <v>0</v>
      </c>
      <c r="ANA11" s="2">
        <v>1.9670000000000001</v>
      </c>
      <c r="ANB11" s="2">
        <v>0</v>
      </c>
      <c r="ANC11" s="2">
        <v>0</v>
      </c>
      <c r="AND11" s="2">
        <v>1.3149999999999999</v>
      </c>
      <c r="ANE11" s="2">
        <v>0</v>
      </c>
      <c r="ANF11" s="2">
        <v>8.8768668407310704E-3</v>
      </c>
      <c r="ANG11" s="2">
        <v>1</v>
      </c>
      <c r="ANH11" s="2">
        <v>1.0869565217391299</v>
      </c>
      <c r="ANI11" s="2">
        <v>0</v>
      </c>
      <c r="ANJ11" s="2">
        <v>1.00230179028132</v>
      </c>
      <c r="ANK11" s="2">
        <v>7.8260869565217606E-3</v>
      </c>
      <c r="ANL11" s="2">
        <v>7.3657289002557703E-3</v>
      </c>
      <c r="ANM11" s="2">
        <v>4.6035805626598499E-4</v>
      </c>
      <c r="ANN11" s="2">
        <v>5.0639386189258399E-3</v>
      </c>
      <c r="ANO11" s="2">
        <v>0</v>
      </c>
      <c r="ANP11" s="2">
        <v>3.7634408602150601E-2</v>
      </c>
      <c r="ANQ11" s="2">
        <v>3.5420619860847602E-2</v>
      </c>
      <c r="ANR11" s="2">
        <v>2.2137887413029699E-3</v>
      </c>
      <c r="ANS11" s="2">
        <v>0</v>
      </c>
      <c r="ANT11" s="2">
        <v>0</v>
      </c>
      <c r="ANU11" s="2">
        <v>4.0540540540540397E-2</v>
      </c>
      <c r="ANV11" s="2">
        <v>3.8155802861685101E-2</v>
      </c>
      <c r="ANW11" s="2">
        <v>2.3847376788553201E-3</v>
      </c>
      <c r="ANX11" s="2">
        <v>0</v>
      </c>
      <c r="ANY11" s="2">
        <v>0</v>
      </c>
      <c r="ANZ11" s="2">
        <v>1</v>
      </c>
      <c r="AOA11" s="2">
        <v>1</v>
      </c>
      <c r="AOB11" s="2">
        <v>1</v>
      </c>
      <c r="AOC11" s="2">
        <v>2.76E-2</v>
      </c>
      <c r="AOD11" s="2">
        <v>0.94899999999999995</v>
      </c>
      <c r="AOE11" s="2">
        <v>0.2969</v>
      </c>
      <c r="AOF11" s="2">
        <v>0.47910000000000003</v>
      </c>
      <c r="AOG11" s="2">
        <v>0.04</v>
      </c>
      <c r="AOH11" s="2">
        <v>8.5949999999999999E-2</v>
      </c>
      <c r="AOI11" s="2">
        <v>1.405E-2</v>
      </c>
      <c r="AOJ11" s="2">
        <v>1</v>
      </c>
      <c r="AOK11" s="2">
        <v>1</v>
      </c>
      <c r="AOL11" s="2">
        <v>1</v>
      </c>
      <c r="AOM11" s="2">
        <v>0</v>
      </c>
      <c r="AON11" s="2">
        <v>1</v>
      </c>
      <c r="AOO11" s="2">
        <v>0</v>
      </c>
      <c r="AOP11" s="2">
        <v>0</v>
      </c>
      <c r="AOQ11" s="2">
        <v>0</v>
      </c>
      <c r="AOR11" s="2">
        <v>0</v>
      </c>
      <c r="AOS11" s="2">
        <v>1</v>
      </c>
      <c r="AOT11" s="2">
        <v>1</v>
      </c>
      <c r="AOU11" s="2">
        <v>0</v>
      </c>
      <c r="AOV11" s="2">
        <v>1</v>
      </c>
      <c r="AOW11" s="2">
        <v>0</v>
      </c>
      <c r="AOX11" s="2">
        <v>1</v>
      </c>
      <c r="AOY11" s="2">
        <v>0</v>
      </c>
      <c r="AOZ11" s="2">
        <v>1</v>
      </c>
      <c r="APA11" s="2">
        <v>1</v>
      </c>
      <c r="APB11" s="2">
        <v>1</v>
      </c>
      <c r="APC11" s="2">
        <v>1</v>
      </c>
      <c r="APD11" s="2">
        <v>1</v>
      </c>
      <c r="APE11" s="2">
        <v>1.1499999999999999</v>
      </c>
      <c r="APF11" s="2">
        <v>0</v>
      </c>
      <c r="APG11" s="2">
        <v>1</v>
      </c>
      <c r="APH11" s="2">
        <v>0</v>
      </c>
      <c r="API11" s="2">
        <v>1</v>
      </c>
      <c r="APJ11" s="2">
        <v>1</v>
      </c>
      <c r="APK11" s="2">
        <v>1</v>
      </c>
      <c r="APL11" s="2">
        <v>1</v>
      </c>
      <c r="APM11" s="2">
        <v>1</v>
      </c>
      <c r="APN11" s="2">
        <v>1</v>
      </c>
      <c r="APO11" s="2">
        <v>1</v>
      </c>
      <c r="APP11" s="2">
        <v>1</v>
      </c>
      <c r="APQ11" s="2">
        <v>0.5</v>
      </c>
      <c r="APR11" s="2">
        <v>0</v>
      </c>
      <c r="APS11" s="2">
        <v>1</v>
      </c>
      <c r="APT11" s="2">
        <v>0.25</v>
      </c>
      <c r="APU11" s="2">
        <v>0.25</v>
      </c>
      <c r="APV11" s="2">
        <v>0.25</v>
      </c>
      <c r="APW11" s="2">
        <v>0.25</v>
      </c>
      <c r="APX11" s="2">
        <v>0</v>
      </c>
      <c r="APY11" s="2">
        <v>0.5</v>
      </c>
      <c r="APZ11" s="2">
        <v>0</v>
      </c>
      <c r="AQA11" s="2">
        <v>0</v>
      </c>
      <c r="AQB11" s="2">
        <v>0</v>
      </c>
      <c r="AQC11" s="2">
        <v>0</v>
      </c>
      <c r="AQD11" s="2">
        <v>198.95</v>
      </c>
      <c r="AQE11" s="2">
        <v>0.4</v>
      </c>
      <c r="AQF11" s="2">
        <v>0</v>
      </c>
      <c r="AQG11" s="2">
        <v>0</v>
      </c>
      <c r="AQH11" s="2">
        <v>0</v>
      </c>
      <c r="AQI11" s="2">
        <v>3</v>
      </c>
      <c r="AQJ11" s="2">
        <v>0</v>
      </c>
      <c r="AQK11" s="2">
        <v>25</v>
      </c>
      <c r="AQL11" s="2">
        <v>0</v>
      </c>
      <c r="AQM11" s="2">
        <v>-999</v>
      </c>
      <c r="AQN11" s="2">
        <v>-999</v>
      </c>
      <c r="AQO11" s="2">
        <v>-999</v>
      </c>
      <c r="AQP11" s="2">
        <v>-999</v>
      </c>
      <c r="AQQ11" s="2">
        <v>-999</v>
      </c>
      <c r="AQR11" s="2">
        <v>-999</v>
      </c>
      <c r="AQS11" s="2">
        <v>-999</v>
      </c>
      <c r="AQT11" s="2">
        <v>-999</v>
      </c>
      <c r="AQU11" s="2">
        <v>-999</v>
      </c>
      <c r="AQV11" s="2">
        <v>-999</v>
      </c>
      <c r="AQW11" s="2">
        <v>-999</v>
      </c>
      <c r="AQX11" s="2">
        <v>-999</v>
      </c>
      <c r="AQY11" s="2">
        <v>-999</v>
      </c>
      <c r="AQZ11" s="2">
        <v>0</v>
      </c>
      <c r="ARA11" s="2">
        <v>-999</v>
      </c>
      <c r="ARB11" s="2">
        <v>-999</v>
      </c>
      <c r="ARC11" s="2">
        <v>-999</v>
      </c>
      <c r="ARD11" s="2">
        <v>-999</v>
      </c>
      <c r="ARE11" s="2">
        <v>-999</v>
      </c>
      <c r="ARF11" s="2">
        <v>-999</v>
      </c>
      <c r="ARG11" s="2">
        <v>-999</v>
      </c>
      <c r="ARH11" s="2">
        <v>-999</v>
      </c>
      <c r="ARI11" s="2">
        <v>-999</v>
      </c>
      <c r="ARJ11" s="2">
        <v>-999</v>
      </c>
      <c r="ARK11" s="2">
        <v>-999</v>
      </c>
      <c r="ARL11" s="2">
        <v>-999</v>
      </c>
      <c r="ARM11" s="2">
        <v>-999</v>
      </c>
      <c r="ARN11" s="2">
        <v>-999</v>
      </c>
      <c r="ARO11" s="2">
        <v>-999</v>
      </c>
      <c r="ARP11" s="2">
        <v>-999</v>
      </c>
      <c r="ARQ11" s="2">
        <v>-999</v>
      </c>
      <c r="ARR11" s="2">
        <v>-999</v>
      </c>
      <c r="ARS11" s="2">
        <v>-999</v>
      </c>
      <c r="ART11" s="2">
        <v>-999</v>
      </c>
      <c r="ARU11" s="2">
        <v>-999</v>
      </c>
      <c r="ARV11" s="2">
        <v>-999</v>
      </c>
      <c r="ARW11" s="2">
        <v>-999</v>
      </c>
      <c r="ARX11" s="2">
        <v>-999</v>
      </c>
      <c r="ARY11" s="2">
        <v>-999</v>
      </c>
      <c r="ARZ11" s="2">
        <v>-999</v>
      </c>
      <c r="ASA11" s="2">
        <v>-999</v>
      </c>
      <c r="ASB11" s="2">
        <v>-999</v>
      </c>
      <c r="ASC11" s="2">
        <v>-999</v>
      </c>
      <c r="ASD11" s="2">
        <v>-999</v>
      </c>
      <c r="ASE11" s="2">
        <v>-999</v>
      </c>
      <c r="ASF11" s="2">
        <v>-999</v>
      </c>
      <c r="ASG11" s="2">
        <v>-999</v>
      </c>
      <c r="ASH11" s="2">
        <v>-999</v>
      </c>
      <c r="ASI11" s="2">
        <v>-999</v>
      </c>
      <c r="ASJ11" s="2">
        <v>-999</v>
      </c>
      <c r="ASK11" s="2">
        <v>-999</v>
      </c>
      <c r="ASL11" s="2">
        <v>-999</v>
      </c>
      <c r="ASM11" s="2">
        <v>-999</v>
      </c>
      <c r="ASN11" s="2">
        <v>-999</v>
      </c>
      <c r="ASO11" s="2">
        <v>-999</v>
      </c>
      <c r="ASP11" s="2">
        <v>4.51</v>
      </c>
      <c r="ASQ11" s="2">
        <v>133</v>
      </c>
      <c r="ASR11" s="2">
        <v>11.49</v>
      </c>
      <c r="ASS11" s="2">
        <v>78.8</v>
      </c>
      <c r="AST11" s="2">
        <v>6.11</v>
      </c>
      <c r="ASU11" s="2">
        <v>2.3199999999999998</v>
      </c>
      <c r="ASV11" s="2">
        <v>1.21</v>
      </c>
      <c r="ASW11" s="2">
        <v>26</v>
      </c>
      <c r="ASX11" s="2">
        <v>2.81</v>
      </c>
      <c r="ASY11" s="2">
        <v>3.22</v>
      </c>
      <c r="ASZ11" s="2">
        <v>183.3</v>
      </c>
      <c r="ATA11" s="2">
        <v>30</v>
      </c>
      <c r="ATB11" s="2">
        <v>120</v>
      </c>
      <c r="ATC11" s="2">
        <v>40</v>
      </c>
      <c r="ATD11" s="2">
        <v>0.3</v>
      </c>
      <c r="ATE11" s="2">
        <v>1.55</v>
      </c>
      <c r="ATF11" s="2">
        <v>0</v>
      </c>
      <c r="ATG11" s="2">
        <v>1.8140000000000001</v>
      </c>
      <c r="ATI11" s="2">
        <v>250</v>
      </c>
      <c r="ATJ11" s="2">
        <v>1</v>
      </c>
      <c r="ATK11" s="2">
        <v>2</v>
      </c>
      <c r="ATL11" s="2">
        <v>70</v>
      </c>
      <c r="ATM11" s="2">
        <v>470</v>
      </c>
      <c r="ATN11" s="2">
        <v>15</v>
      </c>
      <c r="ATO11" s="2">
        <v>2.8</v>
      </c>
      <c r="ATP11" s="2">
        <v>15</v>
      </c>
      <c r="ATQ11" s="2">
        <v>3.7</v>
      </c>
      <c r="ATR11" s="10">
        <v>17501470</v>
      </c>
      <c r="ATS11" s="10">
        <v>3951530</v>
      </c>
      <c r="ATT11" s="2">
        <v>100000</v>
      </c>
      <c r="ATU11" s="2">
        <v>80000</v>
      </c>
      <c r="ATV11" s="2">
        <v>5000</v>
      </c>
      <c r="ATW11" s="2">
        <v>14000</v>
      </c>
      <c r="ATX11" s="2">
        <v>1400</v>
      </c>
      <c r="ATY11" s="2">
        <v>10000</v>
      </c>
      <c r="ATZ11" s="2">
        <v>108</v>
      </c>
      <c r="AUA11" s="2">
        <v>105000</v>
      </c>
      <c r="AUB11" s="2">
        <v>100000</v>
      </c>
      <c r="AUC11" s="2">
        <v>0</v>
      </c>
      <c r="AUD11" s="2">
        <v>0</v>
      </c>
      <c r="AUE11" s="2">
        <v>0</v>
      </c>
      <c r="AUF11" s="2">
        <v>0</v>
      </c>
      <c r="AUG11" s="2">
        <v>0</v>
      </c>
      <c r="AUH11" s="2">
        <v>0</v>
      </c>
      <c r="AUI11" s="2">
        <v>5000</v>
      </c>
      <c r="AUJ11" s="2">
        <v>400000</v>
      </c>
      <c r="AUK11" s="2">
        <v>1424850.75</v>
      </c>
      <c r="AUL11" s="2">
        <v>0</v>
      </c>
      <c r="AUM11" s="2">
        <v>0.9</v>
      </c>
      <c r="AUN11" s="2">
        <v>1.2</v>
      </c>
      <c r="AUO11" s="2">
        <v>0.01</v>
      </c>
      <c r="AUP11" s="2">
        <v>2.6</v>
      </c>
      <c r="AUQ11" s="2">
        <v>0</v>
      </c>
      <c r="AUR11" s="2">
        <v>7.8</v>
      </c>
      <c r="AUS11" s="2">
        <v>0.6</v>
      </c>
      <c r="AUT11" s="2">
        <v>6</v>
      </c>
      <c r="AUU11" s="2">
        <v>0</v>
      </c>
      <c r="AUV11" s="2">
        <v>0</v>
      </c>
      <c r="AUW11" s="2">
        <v>0</v>
      </c>
      <c r="AUX11" s="2">
        <v>0</v>
      </c>
      <c r="AUY11" s="2">
        <v>0.1</v>
      </c>
      <c r="AUZ11" s="2">
        <v>2</v>
      </c>
      <c r="AVA11" s="2">
        <v>4</v>
      </c>
      <c r="AVB11" s="2">
        <v>0.6</v>
      </c>
      <c r="AVC11" s="2">
        <v>0.5</v>
      </c>
      <c r="AVD11" s="2">
        <v>0.95</v>
      </c>
      <c r="AVE11" s="2">
        <v>1</v>
      </c>
      <c r="AVF11" s="2">
        <v>1</v>
      </c>
      <c r="AVG11" s="2">
        <v>1</v>
      </c>
      <c r="AVH11" s="2">
        <v>1</v>
      </c>
      <c r="AVI11" s="2">
        <v>1</v>
      </c>
      <c r="AVJ11" s="2">
        <v>1</v>
      </c>
      <c r="AVK11" s="2">
        <v>1</v>
      </c>
      <c r="AVL11" s="2">
        <v>1</v>
      </c>
      <c r="AVM11" s="2">
        <v>1</v>
      </c>
      <c r="AVN11" s="2">
        <v>1</v>
      </c>
      <c r="AVO11" s="2">
        <v>1</v>
      </c>
      <c r="AVP11" s="2">
        <v>1</v>
      </c>
      <c r="AVQ11" s="2">
        <v>1</v>
      </c>
      <c r="AVR11" s="2">
        <v>1</v>
      </c>
      <c r="AVS11" s="2">
        <v>1</v>
      </c>
      <c r="AVT11" s="2">
        <v>1</v>
      </c>
      <c r="AVU11" s="2">
        <v>1</v>
      </c>
      <c r="AVV11" s="2">
        <v>1</v>
      </c>
      <c r="AVW11" s="2">
        <v>1</v>
      </c>
      <c r="AVX11" s="2">
        <v>1</v>
      </c>
      <c r="AVY11" s="2">
        <v>1</v>
      </c>
      <c r="AVZ11" s="2">
        <v>1</v>
      </c>
      <c r="AWA11" s="2">
        <v>1</v>
      </c>
      <c r="AWB11" s="2">
        <v>1</v>
      </c>
      <c r="AWC11" s="2">
        <v>1</v>
      </c>
      <c r="AWD11" s="2">
        <v>1</v>
      </c>
      <c r="AWE11" s="2">
        <v>60</v>
      </c>
      <c r="AWF11" s="2">
        <v>5</v>
      </c>
      <c r="AWG11" s="2">
        <v>4.5</v>
      </c>
      <c r="AWH11" s="2">
        <v>74.14</v>
      </c>
      <c r="AWI11" s="2">
        <v>14.57</v>
      </c>
      <c r="AWJ11" s="2">
        <v>14.57</v>
      </c>
      <c r="AWK11" s="2">
        <v>0.45</v>
      </c>
      <c r="AWL11" s="2">
        <v>25</v>
      </c>
      <c r="AWM11" s="2">
        <v>2</v>
      </c>
      <c r="AWN11" s="2">
        <v>1</v>
      </c>
      <c r="AWO11" s="2">
        <v>4</v>
      </c>
      <c r="AWP11" s="2">
        <v>25</v>
      </c>
      <c r="AWQ11" s="2">
        <v>5</v>
      </c>
      <c r="AWR11" s="2">
        <v>19</v>
      </c>
      <c r="AWS11" s="2">
        <v>25</v>
      </c>
      <c r="AWT11" s="2">
        <v>2</v>
      </c>
      <c r="AWU11" s="2">
        <v>3.4</v>
      </c>
      <c r="AWV11" s="2">
        <v>3</v>
      </c>
      <c r="AWW11" s="2">
        <v>4</v>
      </c>
      <c r="AWX11" s="2">
        <v>16</v>
      </c>
      <c r="AWY11" s="2">
        <v>16</v>
      </c>
      <c r="AWZ11" s="2">
        <v>25</v>
      </c>
      <c r="AXA11" s="2">
        <v>25</v>
      </c>
      <c r="AXB11" s="2">
        <v>25</v>
      </c>
    </row>
    <row r="12" spans="1:1302" x14ac:dyDescent="0.3">
      <c r="A12" s="1">
        <v>2016</v>
      </c>
      <c r="B12" s="2">
        <v>6552500</v>
      </c>
      <c r="C12" s="2">
        <v>0</v>
      </c>
      <c r="D12" s="2">
        <v>2317</v>
      </c>
      <c r="E12" s="2">
        <v>20</v>
      </c>
      <c r="F12" s="2">
        <v>2000</v>
      </c>
      <c r="G12" s="2">
        <v>1</v>
      </c>
      <c r="H12" s="2">
        <v>0.4</v>
      </c>
      <c r="I12" s="2">
        <v>5.0000000000000001E-3</v>
      </c>
      <c r="J12" s="2">
        <v>0.02</v>
      </c>
      <c r="K12" s="2">
        <v>1E-3</v>
      </c>
      <c r="L12" s="2">
        <v>7.0000000000000001E-3</v>
      </c>
      <c r="M12" s="2">
        <v>1E-3</v>
      </c>
      <c r="N12" s="2">
        <v>0.05</v>
      </c>
      <c r="O12" s="2">
        <v>4.7000000000000002E-3</v>
      </c>
      <c r="P12" s="2">
        <v>0.115</v>
      </c>
      <c r="Q12" s="2">
        <v>1.09E-2</v>
      </c>
      <c r="R12" s="2">
        <v>6.0000000000000001E-3</v>
      </c>
      <c r="S12" s="2">
        <v>1.7000000000000001E-2</v>
      </c>
      <c r="T12" s="2">
        <v>7.9000000000000001E-2</v>
      </c>
      <c r="U12" s="2">
        <v>2.2899999999999999E-3</v>
      </c>
      <c r="V12" s="2">
        <v>1.1999999999999999E-3</v>
      </c>
      <c r="W12" s="2">
        <v>8.0000000000000004E-4</v>
      </c>
      <c r="X12" s="2">
        <v>1.6E-2</v>
      </c>
      <c r="Y12" s="2">
        <v>1.4999999999999999E-2</v>
      </c>
      <c r="Z12" s="2">
        <v>2.5000000000000001E-2</v>
      </c>
      <c r="AA12" s="2">
        <v>0</v>
      </c>
      <c r="AB12" s="2">
        <v>10.91</v>
      </c>
      <c r="AC12" s="2">
        <v>2.83</v>
      </c>
      <c r="AD12" s="4">
        <v>13.062634250586491</v>
      </c>
      <c r="AE12" s="5">
        <v>144.61765708442223</v>
      </c>
      <c r="AF12" s="5">
        <v>666.63023934640398</v>
      </c>
      <c r="AG12" s="2">
        <v>0</v>
      </c>
      <c r="AH12" s="2">
        <v>0</v>
      </c>
      <c r="AI12" s="2">
        <v>800</v>
      </c>
      <c r="AJ12" s="2">
        <v>18.989999999999998</v>
      </c>
      <c r="AK12" s="2">
        <v>18.600000000000001</v>
      </c>
      <c r="AL12" s="2">
        <v>62</v>
      </c>
      <c r="AM12" s="6">
        <f t="shared" si="0"/>
        <v>109.43164383561646</v>
      </c>
      <c r="AN12" s="7">
        <v>81.301369863013704</v>
      </c>
      <c r="AO12" s="2">
        <v>0</v>
      </c>
      <c r="AP12" s="6">
        <v>285</v>
      </c>
      <c r="AQ12" s="7">
        <v>650.68493150684935</v>
      </c>
      <c r="AR12" s="2">
        <v>52.83</v>
      </c>
      <c r="AS12" s="2">
        <v>0</v>
      </c>
      <c r="AT12" s="7">
        <v>801.36986301369859</v>
      </c>
      <c r="AU12" s="2">
        <v>0</v>
      </c>
      <c r="AV12" s="2">
        <v>0</v>
      </c>
      <c r="AW12" s="2">
        <v>0</v>
      </c>
      <c r="AX12" s="2">
        <v>0</v>
      </c>
      <c r="AY12" s="2">
        <v>450</v>
      </c>
      <c r="AZ12" s="2">
        <v>9.99</v>
      </c>
      <c r="BA12" s="2">
        <v>74758.66</v>
      </c>
      <c r="BB12" s="2">
        <v>570</v>
      </c>
      <c r="BC12" s="2">
        <v>9380</v>
      </c>
      <c r="BD12" s="2">
        <v>3</v>
      </c>
      <c r="BE12" s="2">
        <v>0.4</v>
      </c>
      <c r="BF12" s="2">
        <v>36932</v>
      </c>
      <c r="BG12" s="2">
        <v>1690</v>
      </c>
      <c r="BH12" s="2">
        <v>0</v>
      </c>
      <c r="BI12" s="2">
        <v>1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1</v>
      </c>
      <c r="BX12" s="2">
        <v>1</v>
      </c>
      <c r="BY12" s="2">
        <v>1</v>
      </c>
      <c r="BZ12" s="2">
        <v>1</v>
      </c>
      <c r="CA12" s="2">
        <v>1</v>
      </c>
      <c r="CB12" s="2">
        <v>1</v>
      </c>
      <c r="CC12" s="2">
        <v>1</v>
      </c>
      <c r="CD12" s="2">
        <v>1</v>
      </c>
      <c r="CE12" s="2">
        <v>1</v>
      </c>
      <c r="CF12" s="2">
        <v>1</v>
      </c>
      <c r="CG12" s="2">
        <v>1</v>
      </c>
      <c r="CH12" s="2">
        <v>1</v>
      </c>
      <c r="CI12" s="2">
        <v>1</v>
      </c>
      <c r="CJ12" s="2">
        <v>1</v>
      </c>
      <c r="CK12" s="2">
        <v>1</v>
      </c>
      <c r="CL12" s="2">
        <v>1</v>
      </c>
      <c r="CM12" s="2">
        <v>0</v>
      </c>
      <c r="CN12" s="2">
        <v>54.6</v>
      </c>
      <c r="CO12" s="2">
        <v>112</v>
      </c>
      <c r="CP12" s="2">
        <v>94.6</v>
      </c>
      <c r="CQ12" s="2">
        <v>97.016666666666595</v>
      </c>
      <c r="CR12" s="2">
        <v>103.833333333333</v>
      </c>
      <c r="CS12" s="2">
        <v>73.3</v>
      </c>
      <c r="CT12" s="2">
        <v>74.099999999999994</v>
      </c>
      <c r="CU12" s="2">
        <v>0</v>
      </c>
      <c r="CV12" s="2">
        <v>221</v>
      </c>
      <c r="CW12" s="2">
        <v>69.766666666666595</v>
      </c>
      <c r="CX12" s="2">
        <v>0</v>
      </c>
      <c r="CY12" s="2">
        <v>63.1</v>
      </c>
      <c r="CZ12" s="2">
        <v>0</v>
      </c>
      <c r="DA12" s="2">
        <v>0</v>
      </c>
      <c r="DB12" s="2">
        <v>71.7</v>
      </c>
      <c r="DC12" s="2">
        <v>60.15</v>
      </c>
      <c r="DD12" s="2">
        <v>60.15</v>
      </c>
      <c r="DE12" s="2">
        <v>0</v>
      </c>
      <c r="DF12" s="2">
        <v>0</v>
      </c>
      <c r="DG12" s="2">
        <v>75.349999999999994</v>
      </c>
      <c r="DH12" s="2">
        <v>95.066666666666606</v>
      </c>
      <c r="DI12" s="2">
        <v>0</v>
      </c>
      <c r="DJ12" s="2">
        <v>100.37</v>
      </c>
      <c r="DK12" s="2">
        <v>0</v>
      </c>
      <c r="DL12" s="2">
        <v>3.0000000000000001E-3</v>
      </c>
      <c r="DM12" s="2">
        <v>1E-3</v>
      </c>
      <c r="DN12" s="2">
        <v>1.6E-2</v>
      </c>
      <c r="DO12" s="2">
        <v>1E-3</v>
      </c>
      <c r="DP12" s="2">
        <v>1E-3</v>
      </c>
      <c r="DQ12" s="2">
        <v>1.6666666666666601E-3</v>
      </c>
      <c r="DR12" s="2">
        <v>3.0000000000000001E-3</v>
      </c>
      <c r="DS12" s="2">
        <v>3.0000000000000001E-3</v>
      </c>
      <c r="DT12" s="2">
        <v>0</v>
      </c>
      <c r="DU12" s="2">
        <v>1E-3</v>
      </c>
      <c r="DV12" s="2">
        <v>3.0000000000000001E-3</v>
      </c>
      <c r="DW12" s="2">
        <v>0</v>
      </c>
      <c r="DX12" s="2">
        <v>1E-3</v>
      </c>
      <c r="DY12" s="2">
        <v>0</v>
      </c>
      <c r="DZ12" s="2">
        <v>0</v>
      </c>
      <c r="EA12" s="2">
        <v>3.0000000000000001E-3</v>
      </c>
      <c r="EB12" s="2">
        <v>2E-3</v>
      </c>
      <c r="EC12" s="2">
        <v>2E-3</v>
      </c>
      <c r="ED12" s="2">
        <v>0</v>
      </c>
      <c r="EE12" s="2">
        <v>0</v>
      </c>
      <c r="EF12" s="2">
        <v>1.6500000000000001E-2</v>
      </c>
      <c r="EG12" s="2">
        <v>1E-3</v>
      </c>
      <c r="EH12" s="2">
        <v>0</v>
      </c>
      <c r="EI12" s="2">
        <v>2.79</v>
      </c>
      <c r="EJ12" s="2">
        <v>0</v>
      </c>
      <c r="EK12" s="2">
        <v>5.9999999999999995E-4</v>
      </c>
      <c r="EL12" s="2">
        <v>1E-4</v>
      </c>
      <c r="EM12" s="2">
        <v>2.875E-3</v>
      </c>
      <c r="EN12" s="2">
        <v>1.5E-3</v>
      </c>
      <c r="EO12" s="2">
        <v>1.5E-3</v>
      </c>
      <c r="EP12" s="2">
        <v>7.3333333333333302E-4</v>
      </c>
      <c r="EQ12" s="2">
        <v>5.9999999999999995E-4</v>
      </c>
      <c r="ER12" s="2">
        <v>5.9999999999999995E-4</v>
      </c>
      <c r="ES12" s="2">
        <v>0</v>
      </c>
      <c r="ET12" s="2">
        <v>1E-4</v>
      </c>
      <c r="EU12" s="2">
        <v>5.9999999999999995E-4</v>
      </c>
      <c r="EV12" s="2">
        <v>0</v>
      </c>
      <c r="EW12" s="2">
        <v>1E-4</v>
      </c>
      <c r="EX12" s="2">
        <v>0</v>
      </c>
      <c r="EY12" s="2">
        <v>0</v>
      </c>
      <c r="EZ12" s="2">
        <v>5.9999999999999995E-4</v>
      </c>
      <c r="FA12" s="2">
        <v>3.5E-4</v>
      </c>
      <c r="FB12" s="2">
        <v>3.5E-4</v>
      </c>
      <c r="FC12" s="2">
        <v>0</v>
      </c>
      <c r="FD12" s="2">
        <v>0</v>
      </c>
      <c r="FE12" s="2">
        <v>2.3E-3</v>
      </c>
      <c r="FF12" s="2">
        <v>1.5E-3</v>
      </c>
      <c r="FG12" s="2">
        <v>0</v>
      </c>
      <c r="FH12" s="2">
        <v>9.5899999999999996E-3</v>
      </c>
      <c r="FI12" s="2">
        <v>0</v>
      </c>
      <c r="FJ12" s="8">
        <v>1.6583123951776999E-6</v>
      </c>
      <c r="FK12" s="8">
        <v>8.4498520697110406E-8</v>
      </c>
      <c r="FL12" s="8">
        <v>2.4E-8</v>
      </c>
      <c r="FM12" s="2">
        <v>1.4105270168067501E-4</v>
      </c>
      <c r="FN12" s="8">
        <v>3.23821170194798E-9</v>
      </c>
      <c r="FO12" s="8">
        <v>2.46779253585061E-5</v>
      </c>
      <c r="FP12" s="2">
        <v>5.1415182085719699E-2</v>
      </c>
      <c r="FQ12" s="8">
        <v>4.89277622940513E-6</v>
      </c>
      <c r="FR12" s="2">
        <v>3.99749921826133E-2</v>
      </c>
      <c r="FS12" s="8">
        <v>6.3213623094501506E-11</v>
      </c>
      <c r="FT12" s="8">
        <v>6.3213922517116401E-7</v>
      </c>
      <c r="FU12" s="8">
        <v>2.6021139604446299E-9</v>
      </c>
      <c r="FV12" s="2">
        <v>6.2529992803453897E-3</v>
      </c>
      <c r="FW12" s="2">
        <v>0</v>
      </c>
      <c r="FX12" s="8">
        <v>3.2490625588560901E-6</v>
      </c>
      <c r="FY12" s="2">
        <v>9.2441948549119596E-3</v>
      </c>
      <c r="FZ12" s="2">
        <v>0</v>
      </c>
      <c r="GA12" s="8">
        <v>6.1712669934061603E-5</v>
      </c>
      <c r="GB12" s="2">
        <v>1.02490704319759E-2</v>
      </c>
      <c r="GC12" s="8">
        <v>6.8E-8</v>
      </c>
      <c r="GD12" s="8">
        <v>5.4211433772233295E-7</v>
      </c>
      <c r="GE12" s="2">
        <v>1.40263261984831E-2</v>
      </c>
      <c r="GF12" s="2">
        <v>1.52432705551728E-2</v>
      </c>
      <c r="GG12" s="2">
        <v>1.02176318195558E-2</v>
      </c>
      <c r="GH12" s="2">
        <v>5.1633091233467803E-3</v>
      </c>
      <c r="GI12" s="2">
        <v>2.1213203435596398E-3</v>
      </c>
      <c r="GJ12" s="2">
        <v>0</v>
      </c>
      <c r="GK12" s="2">
        <v>1.87616630392937E-3</v>
      </c>
      <c r="GL12" s="8">
        <v>6.4583997501198804E-7</v>
      </c>
      <c r="GM12" s="8">
        <v>1.52E-5</v>
      </c>
      <c r="GN12" s="8">
        <v>6.2528652183015504E-9</v>
      </c>
      <c r="GO12" s="8">
        <v>1.395E-6</v>
      </c>
      <c r="GP12" s="2">
        <v>0</v>
      </c>
      <c r="GQ12" s="8">
        <v>1.82429989565185E-8</v>
      </c>
      <c r="GR12" s="2">
        <v>1.5200000000000001E-4</v>
      </c>
      <c r="GS12" s="2">
        <v>1</v>
      </c>
      <c r="GT12" s="2">
        <v>0</v>
      </c>
      <c r="GU12" s="8">
        <v>8.0000000000000007E-5</v>
      </c>
      <c r="GV12" s="8">
        <v>8.0000000000000007E-5</v>
      </c>
      <c r="GW12" s="2">
        <v>1</v>
      </c>
      <c r="GX12" s="2">
        <v>0</v>
      </c>
      <c r="GY12" s="2">
        <v>1</v>
      </c>
      <c r="GZ12" s="2">
        <v>1</v>
      </c>
      <c r="HA12" s="2">
        <v>0</v>
      </c>
      <c r="HB12" s="2">
        <v>0</v>
      </c>
      <c r="HC12" s="8">
        <v>2.0000000000000002E-5</v>
      </c>
      <c r="HD12" s="2">
        <v>1</v>
      </c>
      <c r="HE12" s="2">
        <v>1</v>
      </c>
      <c r="HF12" s="2">
        <v>1</v>
      </c>
      <c r="HG12" s="2">
        <v>1</v>
      </c>
      <c r="HH12" s="2">
        <v>1</v>
      </c>
      <c r="HI12" s="2">
        <v>1</v>
      </c>
      <c r="HJ12" s="2">
        <v>0</v>
      </c>
      <c r="HK12" s="2">
        <v>1</v>
      </c>
      <c r="HL12" s="2">
        <v>0</v>
      </c>
      <c r="HM12" s="8">
        <v>1.9999999999999999E-6</v>
      </c>
      <c r="HN12" s="8">
        <v>4.0000000000000001E-8</v>
      </c>
      <c r="HO12" s="2">
        <v>1</v>
      </c>
      <c r="HP12" s="2">
        <v>0</v>
      </c>
      <c r="HQ12" s="2">
        <v>0</v>
      </c>
      <c r="HR12" s="8">
        <v>5.9999999999999997E-7</v>
      </c>
      <c r="HS12" s="2">
        <v>1</v>
      </c>
      <c r="HT12" s="2">
        <v>1</v>
      </c>
      <c r="HU12" s="2">
        <v>0</v>
      </c>
      <c r="HV12" s="2">
        <v>0</v>
      </c>
      <c r="HW12" s="8">
        <v>7.9999999999999996E-6</v>
      </c>
      <c r="HX12" s="2">
        <v>1</v>
      </c>
      <c r="HY12" s="2">
        <v>0</v>
      </c>
      <c r="HZ12" s="2">
        <v>2.0000000000000001E-4</v>
      </c>
      <c r="IA12" s="2">
        <v>0</v>
      </c>
      <c r="IB12" s="2">
        <v>1</v>
      </c>
      <c r="IC12" s="2">
        <v>0</v>
      </c>
      <c r="ID12" s="8">
        <v>1.9999999999999999E-6</v>
      </c>
      <c r="IE12" s="2">
        <v>0</v>
      </c>
      <c r="IF12" s="2">
        <v>0</v>
      </c>
      <c r="IG12" s="2">
        <v>0</v>
      </c>
      <c r="IH12" s="2">
        <v>1</v>
      </c>
      <c r="II12" s="2">
        <v>1</v>
      </c>
      <c r="IJ12" s="2">
        <v>0</v>
      </c>
      <c r="IK12" s="2">
        <v>0</v>
      </c>
      <c r="IL12" s="2">
        <v>1.16E-3</v>
      </c>
      <c r="IM12" s="2">
        <v>1.7357142857142799E-4</v>
      </c>
      <c r="IN12" s="2">
        <v>3.9654299999999998E-3</v>
      </c>
      <c r="IO12" s="2">
        <v>1</v>
      </c>
      <c r="IP12" s="2">
        <v>1</v>
      </c>
      <c r="IQ12" s="2">
        <v>0</v>
      </c>
      <c r="IR12" s="2">
        <v>0</v>
      </c>
      <c r="IS12" s="2">
        <v>1</v>
      </c>
      <c r="IT12" s="2">
        <v>1</v>
      </c>
      <c r="IU12" s="2">
        <v>3.0000000000000001E-3</v>
      </c>
      <c r="IV12" s="8">
        <v>3.0000000000000001E-5</v>
      </c>
      <c r="IW12" s="2">
        <v>3.15</v>
      </c>
      <c r="IX12" s="2">
        <v>3.08</v>
      </c>
      <c r="IY12" s="2">
        <v>0.52</v>
      </c>
      <c r="IZ12" s="2">
        <v>0.848907407407407</v>
      </c>
      <c r="JA12" s="2">
        <v>0.2</v>
      </c>
      <c r="JB12" s="2">
        <v>0.75</v>
      </c>
      <c r="JC12" s="2">
        <v>1.8667380952380901</v>
      </c>
      <c r="JD12" s="2">
        <v>1.43807229</v>
      </c>
      <c r="JE12" s="2">
        <v>1</v>
      </c>
      <c r="JF12" s="2">
        <v>3.7409999999999999E-2</v>
      </c>
      <c r="JG12" s="2">
        <v>6.9999999999999999E-4</v>
      </c>
      <c r="JH12" s="2">
        <v>0</v>
      </c>
      <c r="JI12" s="2">
        <v>1E-4</v>
      </c>
      <c r="JJ12" s="2">
        <v>1</v>
      </c>
      <c r="JK12" s="8">
        <v>6.0000000000000002E-6</v>
      </c>
      <c r="JL12" s="8">
        <v>6.0000000000000002E-6</v>
      </c>
      <c r="JM12" s="8">
        <v>6.0000000000000002E-6</v>
      </c>
      <c r="JN12" s="2">
        <v>0.5</v>
      </c>
      <c r="JO12" s="2">
        <v>2</v>
      </c>
      <c r="JP12" s="2">
        <v>13.315</v>
      </c>
      <c r="JQ12" s="2">
        <v>3.71</v>
      </c>
      <c r="JR12" s="2">
        <v>77</v>
      </c>
      <c r="JS12" s="2">
        <v>3.9</v>
      </c>
      <c r="JT12" s="2">
        <v>20.6</v>
      </c>
      <c r="JU12" s="2">
        <v>62</v>
      </c>
      <c r="JV12" s="2">
        <v>350</v>
      </c>
      <c r="JW12" s="2">
        <v>41</v>
      </c>
      <c r="JX12" s="2">
        <v>3.9</v>
      </c>
      <c r="JY12" s="2">
        <v>5.6</v>
      </c>
      <c r="JZ12" s="2">
        <v>0.2</v>
      </c>
      <c r="KA12" s="2">
        <v>3</v>
      </c>
      <c r="KB12" s="2">
        <v>4.1500000000000004</v>
      </c>
      <c r="KC12" s="2">
        <v>350</v>
      </c>
      <c r="KD12" s="2">
        <v>28.6</v>
      </c>
      <c r="KE12" s="2">
        <v>3</v>
      </c>
      <c r="KF12" s="2">
        <v>4.1500000000000004</v>
      </c>
      <c r="KG12" s="2">
        <v>350</v>
      </c>
      <c r="KH12" s="2">
        <v>28.6</v>
      </c>
      <c r="KI12" s="2">
        <v>3</v>
      </c>
      <c r="KJ12" s="2">
        <v>77</v>
      </c>
      <c r="KK12" s="2">
        <v>3.9</v>
      </c>
      <c r="KL12" s="2">
        <v>20.6</v>
      </c>
      <c r="KM12" s="2">
        <v>62</v>
      </c>
      <c r="KN12" s="2">
        <v>350</v>
      </c>
      <c r="KO12" s="2">
        <v>41</v>
      </c>
      <c r="KP12" s="2">
        <v>3.9</v>
      </c>
      <c r="KQ12" s="2">
        <v>5.6</v>
      </c>
      <c r="KR12" s="2">
        <v>0.2</v>
      </c>
      <c r="KS12" s="2">
        <v>3</v>
      </c>
      <c r="KT12" s="2">
        <v>77</v>
      </c>
      <c r="KU12" s="2">
        <v>3.9</v>
      </c>
      <c r="KV12" s="2">
        <v>20.6</v>
      </c>
      <c r="KW12" s="2">
        <v>62</v>
      </c>
      <c r="KX12" s="2">
        <v>350</v>
      </c>
      <c r="KY12" s="2">
        <v>41</v>
      </c>
      <c r="KZ12" s="2">
        <v>3.9</v>
      </c>
      <c r="LA12" s="2">
        <v>5.6</v>
      </c>
      <c r="LB12" s="2">
        <v>0.2</v>
      </c>
      <c r="LC12" s="2">
        <v>3</v>
      </c>
      <c r="LD12" s="2">
        <v>18</v>
      </c>
      <c r="LE12" s="2">
        <v>3.9</v>
      </c>
      <c r="LF12" s="2">
        <v>20.6</v>
      </c>
      <c r="LG12" s="2">
        <v>62</v>
      </c>
      <c r="LH12" s="2">
        <v>41</v>
      </c>
      <c r="LI12" s="2">
        <v>3.9</v>
      </c>
      <c r="LJ12" s="2">
        <v>5.6</v>
      </c>
      <c r="LK12" s="2">
        <v>0.2</v>
      </c>
      <c r="LL12" s="2">
        <v>7</v>
      </c>
      <c r="LM12" s="2">
        <v>350</v>
      </c>
      <c r="LN12" s="2">
        <v>2</v>
      </c>
      <c r="LO12" s="2">
        <v>3</v>
      </c>
      <c r="LP12" s="2">
        <v>0.95</v>
      </c>
      <c r="LQ12" s="2">
        <v>0.8</v>
      </c>
      <c r="LR12" s="2">
        <v>0.8</v>
      </c>
      <c r="LS12" s="2">
        <v>0.6</v>
      </c>
      <c r="LT12" s="2">
        <v>0.78</v>
      </c>
      <c r="LU12" s="2">
        <v>0.6</v>
      </c>
      <c r="LV12" s="2">
        <v>0.82</v>
      </c>
      <c r="LW12" s="2">
        <v>3.2</v>
      </c>
      <c r="LX12" s="2">
        <v>0.8</v>
      </c>
      <c r="LY12" s="2">
        <v>0.85</v>
      </c>
      <c r="LZ12" s="2">
        <v>0.75</v>
      </c>
      <c r="MA12" s="2">
        <v>0.8</v>
      </c>
      <c r="MB12" s="2">
        <v>0.8</v>
      </c>
      <c r="MC12" s="2">
        <v>0.8</v>
      </c>
      <c r="MD12" s="2">
        <v>0.82</v>
      </c>
      <c r="ME12" s="2">
        <v>0.2</v>
      </c>
      <c r="MF12" s="2">
        <v>0.33500000000000002</v>
      </c>
      <c r="MG12" s="2">
        <v>0.14000000000000001</v>
      </c>
      <c r="MH12" s="2">
        <v>0.45</v>
      </c>
      <c r="MI12" s="2">
        <v>0.45</v>
      </c>
      <c r="MJ12" s="2">
        <v>0.4</v>
      </c>
      <c r="MK12" s="2">
        <v>0.4</v>
      </c>
      <c r="ML12" s="2">
        <v>1</v>
      </c>
      <c r="MM12" s="2">
        <v>0.85499999999999998</v>
      </c>
      <c r="MN12" s="2">
        <v>2.7000000000000001E-3</v>
      </c>
      <c r="MO12" s="2">
        <v>1</v>
      </c>
      <c r="MP12" s="2">
        <v>0.22</v>
      </c>
      <c r="MQ12" s="2">
        <v>0.23</v>
      </c>
      <c r="MR12" s="2">
        <v>0.22</v>
      </c>
      <c r="MS12" s="2">
        <v>0.4</v>
      </c>
      <c r="MT12" s="2">
        <v>0.8</v>
      </c>
      <c r="MU12" s="2">
        <v>0.75</v>
      </c>
      <c r="MV12" s="2">
        <v>0.85</v>
      </c>
      <c r="MW12" s="2">
        <v>0.75</v>
      </c>
      <c r="MX12" s="2">
        <v>0.6</v>
      </c>
      <c r="MY12" s="2">
        <v>0.82</v>
      </c>
      <c r="MZ12" s="2">
        <v>0.98</v>
      </c>
      <c r="NA12" s="2">
        <v>0.75</v>
      </c>
      <c r="NB12" s="2">
        <v>0.75</v>
      </c>
      <c r="NC12" s="2">
        <v>0.8</v>
      </c>
      <c r="ND12" s="2">
        <v>0.82</v>
      </c>
      <c r="NE12" s="2">
        <v>0.8</v>
      </c>
      <c r="NF12" s="2">
        <v>0.7</v>
      </c>
      <c r="NG12" s="2">
        <v>0.6</v>
      </c>
      <c r="NH12" s="2">
        <v>0.75</v>
      </c>
      <c r="NI12" s="2">
        <v>2.4</v>
      </c>
      <c r="NJ12" s="2">
        <v>0.75</v>
      </c>
      <c r="NK12" s="2">
        <v>0.75</v>
      </c>
      <c r="NL12" s="2">
        <v>0.8</v>
      </c>
      <c r="NM12" s="2">
        <v>0.75</v>
      </c>
      <c r="NN12" s="2">
        <v>0.8</v>
      </c>
      <c r="NO12" s="2">
        <v>0.64</v>
      </c>
      <c r="NP12" s="2">
        <v>0.6</v>
      </c>
      <c r="NQ12" s="2">
        <v>0.75</v>
      </c>
      <c r="NR12" s="2">
        <v>3.2</v>
      </c>
      <c r="NS12" s="2">
        <v>0.75</v>
      </c>
      <c r="NT12" s="2">
        <v>0.75</v>
      </c>
      <c r="NU12" s="2">
        <v>0.8</v>
      </c>
      <c r="NV12" s="2">
        <v>0.6</v>
      </c>
      <c r="NW12" s="2">
        <v>0.8</v>
      </c>
      <c r="NX12" s="2">
        <v>0.1</v>
      </c>
      <c r="OY12" s="2">
        <v>0.13300000000000001</v>
      </c>
      <c r="OZ12" s="2">
        <v>50</v>
      </c>
      <c r="PA12" s="2">
        <v>1.3376999999999999</v>
      </c>
      <c r="PB12" s="2">
        <v>1.3368169646517301E-2</v>
      </c>
      <c r="PC12" s="2">
        <v>6.1813186813186802E-2</v>
      </c>
      <c r="PD12" s="2">
        <v>0.95550000000000002</v>
      </c>
      <c r="PE12" s="2">
        <v>0</v>
      </c>
      <c r="PF12" s="2">
        <v>5</v>
      </c>
      <c r="PG12" s="2">
        <v>2.4500000000000001E-2</v>
      </c>
      <c r="PI12" s="2">
        <v>8</v>
      </c>
      <c r="PJ12" s="2">
        <v>28.95</v>
      </c>
      <c r="PK12" s="2">
        <v>2.8000000000000001E-2</v>
      </c>
      <c r="PL12" s="2">
        <v>3.9</v>
      </c>
      <c r="PM12" s="2">
        <v>22.5</v>
      </c>
      <c r="PN12" s="2">
        <v>22.96</v>
      </c>
      <c r="PO12" s="2">
        <v>38</v>
      </c>
      <c r="PP12" s="2">
        <v>36.4</v>
      </c>
      <c r="PQ12" s="2">
        <v>3.5000000000000001E-3</v>
      </c>
      <c r="PR12" s="2">
        <v>35</v>
      </c>
      <c r="PS12" s="2">
        <v>3.8300000000000001E-2</v>
      </c>
      <c r="PT12" s="2">
        <v>8</v>
      </c>
      <c r="PU12" s="2">
        <v>32</v>
      </c>
      <c r="PV12" s="2">
        <v>3.8300000000000001E-2</v>
      </c>
      <c r="PW12" s="2">
        <v>38</v>
      </c>
      <c r="PX12" s="2">
        <v>30.58</v>
      </c>
      <c r="PY12" s="2">
        <v>13</v>
      </c>
      <c r="PZ12" s="2">
        <v>23.64</v>
      </c>
      <c r="QA12" s="2">
        <v>26.28</v>
      </c>
      <c r="QB12" s="5">
        <v>48</v>
      </c>
      <c r="QC12" s="2">
        <v>130.739</v>
      </c>
      <c r="QD12" s="2">
        <v>79810000</v>
      </c>
      <c r="QE12" s="2">
        <v>8</v>
      </c>
      <c r="QF12" s="2">
        <v>3</v>
      </c>
      <c r="QG12" s="2">
        <v>2</v>
      </c>
      <c r="QH12" s="2">
        <v>2</v>
      </c>
      <c r="QI12" s="2">
        <v>1</v>
      </c>
      <c r="QJ12" s="2">
        <v>0.5</v>
      </c>
      <c r="QK12" s="2">
        <v>0.25</v>
      </c>
      <c r="QL12" s="2">
        <v>0.5</v>
      </c>
      <c r="QM12" s="2">
        <v>1</v>
      </c>
      <c r="QN12" s="2">
        <v>0.5</v>
      </c>
      <c r="QO12" s="2">
        <v>0.2</v>
      </c>
      <c r="QP12" s="2">
        <v>0.2</v>
      </c>
      <c r="QQ12" s="2">
        <v>0.8</v>
      </c>
      <c r="QR12" s="2">
        <v>1.18527760449157E-2</v>
      </c>
      <c r="QS12" s="2">
        <v>9.9812850904553892E-3</v>
      </c>
      <c r="QT12" s="2">
        <v>0.97816593886462799</v>
      </c>
      <c r="QU12" s="2">
        <v>0.19</v>
      </c>
      <c r="QV12" s="2">
        <v>0.13700000000000001</v>
      </c>
      <c r="QW12" s="2">
        <v>0.30299999999999999</v>
      </c>
      <c r="QX12" s="2">
        <v>0</v>
      </c>
      <c r="QY12" s="2">
        <v>0.216</v>
      </c>
      <c r="QZ12" s="2">
        <v>0.1</v>
      </c>
      <c r="RA12" s="2">
        <v>2.5000000000000001E-2</v>
      </c>
      <c r="RB12" s="2">
        <v>0.05</v>
      </c>
      <c r="RC12" s="2">
        <v>0.2</v>
      </c>
      <c r="RD12" s="2">
        <v>0.04</v>
      </c>
      <c r="RE12" s="2">
        <v>0</v>
      </c>
      <c r="RF12" s="2">
        <v>0</v>
      </c>
      <c r="RG12" s="2">
        <v>7.4999999999999997E-2</v>
      </c>
      <c r="RH12" s="2">
        <v>-999</v>
      </c>
      <c r="RI12" s="2">
        <v>-999</v>
      </c>
      <c r="RJ12" s="2">
        <v>-999</v>
      </c>
      <c r="RK12" s="2">
        <v>-999</v>
      </c>
      <c r="RL12" s="2">
        <v>-999</v>
      </c>
      <c r="RM12" s="2">
        <v>-999</v>
      </c>
      <c r="RN12" s="2">
        <v>-999</v>
      </c>
      <c r="RO12" s="2">
        <v>-999</v>
      </c>
      <c r="RP12" s="2">
        <v>-999</v>
      </c>
      <c r="RQ12" s="2">
        <v>-999</v>
      </c>
      <c r="RR12" s="2">
        <v>-999</v>
      </c>
      <c r="RS12" s="2">
        <v>-999</v>
      </c>
      <c r="RT12" s="2">
        <v>-999</v>
      </c>
      <c r="RU12" s="2">
        <v>-999</v>
      </c>
      <c r="RV12" s="2">
        <v>8.6999999999999994E-2</v>
      </c>
      <c r="RW12" s="2">
        <v>8.6999999999999994E-2</v>
      </c>
      <c r="RX12" s="2">
        <v>0</v>
      </c>
      <c r="RZ12" s="2">
        <v>0</v>
      </c>
      <c r="SA12" s="2">
        <v>0</v>
      </c>
      <c r="SB12" s="2">
        <v>0.31</v>
      </c>
      <c r="SC12" s="2">
        <v>0.03</v>
      </c>
      <c r="SD12" s="2">
        <v>0</v>
      </c>
      <c r="SE12" s="2">
        <v>0.31</v>
      </c>
      <c r="SF12" s="2">
        <v>0</v>
      </c>
      <c r="SG12" s="2">
        <v>0</v>
      </c>
      <c r="SH12" s="2">
        <v>0.32</v>
      </c>
      <c r="SI12" s="2">
        <v>0</v>
      </c>
      <c r="SJ12" s="2">
        <v>0</v>
      </c>
      <c r="SK12" s="2">
        <v>0.03</v>
      </c>
      <c r="SL12" s="2">
        <v>0</v>
      </c>
      <c r="SM12" s="2">
        <v>0.67</v>
      </c>
      <c r="SN12" s="2">
        <v>0</v>
      </c>
      <c r="SO12" s="2">
        <v>0.01</v>
      </c>
      <c r="SP12" s="2">
        <v>0.3</v>
      </c>
      <c r="SQ12" s="2">
        <v>0</v>
      </c>
      <c r="SR12" s="2">
        <v>0</v>
      </c>
      <c r="SS12" s="2">
        <v>0</v>
      </c>
      <c r="ST12" s="2">
        <v>0</v>
      </c>
      <c r="SU12" s="2">
        <v>0</v>
      </c>
      <c r="SV12" s="2">
        <v>0</v>
      </c>
      <c r="SW12" s="2">
        <v>0</v>
      </c>
      <c r="SX12" s="2">
        <v>0.02</v>
      </c>
      <c r="SY12" s="2">
        <v>0</v>
      </c>
      <c r="SZ12" s="2">
        <v>0</v>
      </c>
      <c r="TA12" s="2">
        <v>0</v>
      </c>
      <c r="TB12" s="2">
        <v>0.01</v>
      </c>
      <c r="TC12" s="2">
        <v>0.38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0</v>
      </c>
      <c r="TJ12" s="2">
        <v>0.6</v>
      </c>
      <c r="TK12" s="2">
        <v>0.01</v>
      </c>
      <c r="TL12" s="2">
        <v>0</v>
      </c>
      <c r="TM12" s="2">
        <v>0</v>
      </c>
      <c r="TN12" s="2">
        <v>0</v>
      </c>
      <c r="TO12" s="2">
        <v>0.11</v>
      </c>
      <c r="TP12" s="2">
        <v>0.88</v>
      </c>
      <c r="TQ12" s="2">
        <v>0</v>
      </c>
      <c r="TR12" s="2">
        <v>0</v>
      </c>
      <c r="TS12" s="2">
        <v>0</v>
      </c>
      <c r="TT12" s="2">
        <v>0</v>
      </c>
      <c r="TU12" s="2">
        <v>0</v>
      </c>
      <c r="TV12" s="2">
        <v>0</v>
      </c>
      <c r="TW12" s="2">
        <v>0</v>
      </c>
      <c r="TX12" s="2">
        <v>0.01</v>
      </c>
      <c r="TY12" s="2">
        <v>0</v>
      </c>
      <c r="TZ12" s="2">
        <v>0</v>
      </c>
      <c r="UA12" s="2">
        <v>0</v>
      </c>
      <c r="UB12" s="2">
        <v>0.01</v>
      </c>
      <c r="UC12" s="2">
        <v>0.22900000000000001</v>
      </c>
      <c r="UD12" s="2">
        <v>0</v>
      </c>
      <c r="UE12" s="2">
        <v>0</v>
      </c>
      <c r="UF12" s="2">
        <v>0</v>
      </c>
      <c r="UG12" s="2">
        <v>0</v>
      </c>
      <c r="UH12" s="2">
        <v>0</v>
      </c>
      <c r="UI12" s="2">
        <v>0</v>
      </c>
      <c r="UJ12" s="2">
        <v>0.76</v>
      </c>
      <c r="UK12" s="2">
        <v>1E-3</v>
      </c>
      <c r="UL12" s="2">
        <v>0</v>
      </c>
      <c r="UM12" s="2">
        <v>0</v>
      </c>
      <c r="UN12" s="2">
        <v>0.4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>
        <v>0</v>
      </c>
      <c r="UU12" s="2">
        <v>0</v>
      </c>
      <c r="UV12" s="2">
        <v>0.2</v>
      </c>
      <c r="UW12" s="2">
        <v>0</v>
      </c>
      <c r="UX12" s="2">
        <v>0</v>
      </c>
      <c r="UY12" s="2">
        <v>1.2E-2</v>
      </c>
      <c r="UZ12" s="2">
        <v>0</v>
      </c>
      <c r="VA12" s="2">
        <v>0</v>
      </c>
      <c r="VB12" s="2">
        <v>0.11899999999999999</v>
      </c>
      <c r="VC12" s="2">
        <v>0.73</v>
      </c>
      <c r="VE12" s="2">
        <v>0</v>
      </c>
      <c r="VF12" s="2">
        <v>0</v>
      </c>
      <c r="VG12" s="2">
        <v>0</v>
      </c>
      <c r="VH12" s="2">
        <v>0</v>
      </c>
      <c r="VJ12" s="2">
        <v>0.15</v>
      </c>
      <c r="VK12" s="2">
        <v>1E-3</v>
      </c>
      <c r="VL12" s="2">
        <v>0</v>
      </c>
      <c r="VM12" s="2">
        <v>0</v>
      </c>
      <c r="VN12" s="2">
        <v>0</v>
      </c>
      <c r="VO12" s="2">
        <v>0.21</v>
      </c>
      <c r="VP12" s="2">
        <v>0.78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X12" s="2">
        <v>0</v>
      </c>
      <c r="VY12" s="2">
        <v>0.01</v>
      </c>
      <c r="VZ12" s="2">
        <v>0</v>
      </c>
      <c r="WA12" s="2">
        <v>0</v>
      </c>
      <c r="WB12" s="2">
        <v>0</v>
      </c>
      <c r="WC12" s="2">
        <v>0.05</v>
      </c>
      <c r="WD12" s="2">
        <v>0.11</v>
      </c>
      <c r="WE12" s="2">
        <v>0</v>
      </c>
      <c r="WF12" s="2">
        <v>0</v>
      </c>
      <c r="WG12" s="2">
        <v>0</v>
      </c>
      <c r="WH12" s="2">
        <v>0</v>
      </c>
      <c r="WI12" s="2">
        <v>0</v>
      </c>
      <c r="WJ12" s="2">
        <v>0</v>
      </c>
      <c r="WK12" s="2">
        <v>0</v>
      </c>
      <c r="WL12" s="2">
        <v>1E-3</v>
      </c>
      <c r="WM12" s="2">
        <v>0.83899999999999997</v>
      </c>
      <c r="WN12" s="2">
        <v>0</v>
      </c>
      <c r="WO12" s="2">
        <v>0</v>
      </c>
      <c r="WP12" s="2">
        <v>0</v>
      </c>
      <c r="WQ12" s="2">
        <v>0.26</v>
      </c>
      <c r="WR12" s="2">
        <v>0</v>
      </c>
      <c r="WS12" s="2">
        <v>0</v>
      </c>
      <c r="WT12" s="2">
        <v>0</v>
      </c>
      <c r="WU12" s="2">
        <v>0</v>
      </c>
      <c r="WV12" s="2">
        <v>0</v>
      </c>
      <c r="WW12" s="2">
        <v>0</v>
      </c>
      <c r="WX12" s="2">
        <v>0</v>
      </c>
      <c r="WY12" s="2">
        <v>0.01</v>
      </c>
      <c r="WZ12" s="2">
        <v>0.73</v>
      </c>
      <c r="XA12" s="2">
        <v>0</v>
      </c>
      <c r="XB12" s="2">
        <v>0</v>
      </c>
      <c r="XC12" s="2">
        <v>0</v>
      </c>
      <c r="XD12" s="2">
        <v>0.44</v>
      </c>
      <c r="XE12" s="2">
        <v>0</v>
      </c>
      <c r="XF12" s="2">
        <v>0</v>
      </c>
      <c r="XG12" s="2">
        <v>0</v>
      </c>
      <c r="XH12" s="2">
        <v>0</v>
      </c>
      <c r="XI12" s="2">
        <v>0</v>
      </c>
      <c r="XJ12" s="2">
        <v>0</v>
      </c>
      <c r="XK12" s="2">
        <v>0.4</v>
      </c>
      <c r="XL12" s="2">
        <v>0.01</v>
      </c>
      <c r="XM12" s="2">
        <v>0.15</v>
      </c>
      <c r="XN12" s="2">
        <v>0</v>
      </c>
      <c r="XO12" s="2">
        <v>0</v>
      </c>
      <c r="XP12" s="2">
        <v>0</v>
      </c>
      <c r="XQ12" s="2">
        <v>0.2</v>
      </c>
      <c r="XR12" s="2">
        <v>0</v>
      </c>
      <c r="XS12" s="2">
        <v>0</v>
      </c>
      <c r="XT12" s="2">
        <v>0</v>
      </c>
      <c r="XU12" s="2">
        <v>0</v>
      </c>
      <c r="XV12" s="2">
        <v>0</v>
      </c>
      <c r="XW12" s="2">
        <v>0.1</v>
      </c>
      <c r="XX12" s="2">
        <v>0.63</v>
      </c>
      <c r="XY12" s="2">
        <v>7.0000000000000007E-2</v>
      </c>
      <c r="XZ12" s="2">
        <v>0</v>
      </c>
      <c r="YA12" s="2">
        <v>0</v>
      </c>
      <c r="YB12" s="2">
        <v>0</v>
      </c>
      <c r="YC12" s="2">
        <v>0.11899999999999999</v>
      </c>
      <c r="YD12" s="2">
        <v>0.73</v>
      </c>
      <c r="YF12" s="2">
        <v>0</v>
      </c>
      <c r="YG12" s="2">
        <v>0</v>
      </c>
      <c r="YH12" s="2">
        <v>0</v>
      </c>
      <c r="YI12" s="2">
        <v>0</v>
      </c>
      <c r="YK12" s="2">
        <v>0.15</v>
      </c>
      <c r="YL12" s="2">
        <v>1E-3</v>
      </c>
      <c r="YM12" s="2">
        <v>0</v>
      </c>
      <c r="YN12" s="2">
        <v>0</v>
      </c>
      <c r="YO12" s="2">
        <v>0</v>
      </c>
      <c r="YP12" s="2">
        <v>0</v>
      </c>
      <c r="YQ12" s="2">
        <v>0.26</v>
      </c>
      <c r="YR12" s="2">
        <v>0</v>
      </c>
      <c r="YS12" s="2">
        <v>0</v>
      </c>
      <c r="YT12" s="2">
        <v>0</v>
      </c>
      <c r="YU12" s="2">
        <v>0</v>
      </c>
      <c r="YV12" s="2">
        <v>0</v>
      </c>
      <c r="YW12" s="2">
        <v>0</v>
      </c>
      <c r="YX12" s="2">
        <v>0</v>
      </c>
      <c r="YY12" s="2">
        <v>0.01</v>
      </c>
      <c r="YZ12" s="2">
        <v>0.73</v>
      </c>
      <c r="ZA12" s="2">
        <v>0</v>
      </c>
      <c r="ZB12" s="2">
        <v>0</v>
      </c>
      <c r="ZC12" s="2">
        <v>0</v>
      </c>
      <c r="ZD12" s="2">
        <v>0.44</v>
      </c>
      <c r="ZE12" s="2">
        <v>0</v>
      </c>
      <c r="ZF12" s="2">
        <v>0</v>
      </c>
      <c r="ZG12" s="2">
        <v>0</v>
      </c>
      <c r="ZH12" s="2">
        <v>0</v>
      </c>
      <c r="ZI12" s="2">
        <v>0</v>
      </c>
      <c r="ZJ12" s="2">
        <v>0</v>
      </c>
      <c r="ZK12" s="2">
        <v>0.4</v>
      </c>
      <c r="ZL12" s="2">
        <v>0.01</v>
      </c>
      <c r="ZM12" s="2">
        <v>0.15</v>
      </c>
      <c r="ZN12" s="2">
        <v>0</v>
      </c>
      <c r="ZO12" s="2">
        <v>0</v>
      </c>
      <c r="ZP12" s="2">
        <v>0.01</v>
      </c>
      <c r="ZQ12" s="2">
        <v>0.45</v>
      </c>
      <c r="ZR12" s="2">
        <v>0</v>
      </c>
      <c r="ZS12" s="2">
        <v>0</v>
      </c>
      <c r="ZT12" s="2">
        <v>0</v>
      </c>
      <c r="ZU12" s="2">
        <v>0</v>
      </c>
      <c r="ZV12" s="2">
        <v>0</v>
      </c>
      <c r="ZW12" s="2">
        <v>0</v>
      </c>
      <c r="ZX12" s="2">
        <v>0.14000000000000001</v>
      </c>
      <c r="ZY12" s="2">
        <v>1.6E-2</v>
      </c>
      <c r="ZZ12" s="2">
        <v>0.38400000000000001</v>
      </c>
      <c r="AAA12" s="2">
        <v>0.1</v>
      </c>
      <c r="AAB12" s="2">
        <v>0</v>
      </c>
      <c r="AAC12" s="2">
        <v>0.01</v>
      </c>
      <c r="AAD12" s="2">
        <v>0.38</v>
      </c>
      <c r="AAE12" s="2">
        <v>0</v>
      </c>
      <c r="AAF12" s="2">
        <v>0</v>
      </c>
      <c r="AAG12" s="2">
        <v>0</v>
      </c>
      <c r="AAH12" s="2">
        <v>0</v>
      </c>
      <c r="AAI12" s="2">
        <v>0</v>
      </c>
      <c r="AAJ12" s="2">
        <v>0</v>
      </c>
      <c r="AAK12" s="2">
        <v>6.9000000000000006E-2</v>
      </c>
      <c r="AAL12" s="2">
        <v>1E-3</v>
      </c>
      <c r="AAM12" s="2">
        <v>0.44</v>
      </c>
      <c r="AAN12" s="2">
        <v>0</v>
      </c>
      <c r="AAO12" s="2">
        <v>0</v>
      </c>
      <c r="AAP12" s="2">
        <v>0</v>
      </c>
      <c r="AAQ12" s="2">
        <v>0.12</v>
      </c>
      <c r="AAR12" s="2">
        <v>0</v>
      </c>
      <c r="AAS12" s="2">
        <v>0</v>
      </c>
      <c r="AAT12" s="2">
        <v>0</v>
      </c>
      <c r="AAU12" s="2">
        <v>0</v>
      </c>
      <c r="AAV12" s="2">
        <v>0</v>
      </c>
      <c r="AAW12" s="2">
        <v>0</v>
      </c>
      <c r="AAX12" s="2">
        <v>0.18</v>
      </c>
      <c r="AAY12" s="2">
        <v>0.01</v>
      </c>
      <c r="AAZ12" s="2">
        <v>0.69</v>
      </c>
      <c r="ABA12" s="2">
        <v>0</v>
      </c>
      <c r="ABB12" s="2">
        <v>0</v>
      </c>
      <c r="ABC12" s="2">
        <v>0.01</v>
      </c>
      <c r="ABD12" s="2">
        <v>0.45</v>
      </c>
      <c r="ABE12" s="2">
        <v>0</v>
      </c>
      <c r="ABF12" s="2">
        <v>0</v>
      </c>
      <c r="ABG12" s="2">
        <v>0</v>
      </c>
      <c r="ABH12" s="2">
        <v>0</v>
      </c>
      <c r="ABI12" s="2">
        <v>0</v>
      </c>
      <c r="ABJ12" s="2">
        <v>0</v>
      </c>
      <c r="ABK12" s="2">
        <v>0.14000000000000001</v>
      </c>
      <c r="ABL12" s="2">
        <v>1.6E-2</v>
      </c>
      <c r="ABM12" s="2">
        <v>0.38400000000000001</v>
      </c>
      <c r="ABN12" s="2">
        <v>0.1</v>
      </c>
      <c r="ABO12" s="2">
        <v>0</v>
      </c>
      <c r="ABP12" s="2">
        <v>0.01</v>
      </c>
      <c r="ABQ12" s="2">
        <v>0.38</v>
      </c>
      <c r="ABR12" s="2">
        <v>0</v>
      </c>
      <c r="ABS12" s="2">
        <v>0</v>
      </c>
      <c r="ABT12" s="2">
        <v>0</v>
      </c>
      <c r="ABU12" s="2">
        <v>0</v>
      </c>
      <c r="ABV12" s="2">
        <v>0</v>
      </c>
      <c r="ABW12" s="2">
        <v>0</v>
      </c>
      <c r="ABX12" s="2">
        <v>6.9000000000000006E-2</v>
      </c>
      <c r="ABY12" s="2">
        <v>1E-3</v>
      </c>
      <c r="ABZ12" s="2">
        <v>0.44</v>
      </c>
      <c r="ACA12" s="2">
        <v>0</v>
      </c>
      <c r="ACB12" s="2">
        <v>0</v>
      </c>
      <c r="ACC12" s="2">
        <v>0</v>
      </c>
      <c r="ACD12" s="2">
        <v>0.12</v>
      </c>
      <c r="ACE12" s="2">
        <v>0</v>
      </c>
      <c r="ACF12" s="2">
        <v>0</v>
      </c>
      <c r="ACG12" s="2">
        <v>0</v>
      </c>
      <c r="ACH12" s="2">
        <v>0</v>
      </c>
      <c r="ACI12" s="2">
        <v>0</v>
      </c>
      <c r="ACJ12" s="2">
        <v>0</v>
      </c>
      <c r="ACK12" s="2">
        <v>0.18</v>
      </c>
      <c r="ACL12" s="2">
        <v>0.01</v>
      </c>
      <c r="ACM12" s="2">
        <v>0.69</v>
      </c>
      <c r="ACU12" s="2">
        <v>0</v>
      </c>
      <c r="ACV12" s="2">
        <v>0</v>
      </c>
      <c r="ACW12" s="2">
        <v>0.8</v>
      </c>
      <c r="ACX12" s="2">
        <v>0</v>
      </c>
      <c r="ACY12" s="2">
        <v>0</v>
      </c>
      <c r="ACZ12" s="2">
        <v>0</v>
      </c>
      <c r="ADA12" s="2">
        <v>0</v>
      </c>
      <c r="ADB12" s="2">
        <v>0.19</v>
      </c>
      <c r="ADC12" s="2">
        <v>0.01</v>
      </c>
      <c r="ADD12" s="2">
        <v>0</v>
      </c>
      <c r="ADE12" s="2">
        <v>0</v>
      </c>
      <c r="ADF12" s="2">
        <v>1</v>
      </c>
      <c r="ADG12" s="2">
        <v>0</v>
      </c>
      <c r="ADH12" s="2">
        <v>0</v>
      </c>
      <c r="ADI12" s="2">
        <v>0</v>
      </c>
      <c r="ADJ12" s="2">
        <v>0</v>
      </c>
      <c r="ADK12" s="2">
        <v>0</v>
      </c>
      <c r="ADL12" s="2">
        <v>0</v>
      </c>
      <c r="ADM12" s="2">
        <v>0</v>
      </c>
      <c r="ADN12" s="2">
        <v>0</v>
      </c>
      <c r="ADO12" s="2">
        <v>0.28000000000000003</v>
      </c>
      <c r="ADP12" s="2">
        <v>0</v>
      </c>
      <c r="ADQ12" s="2">
        <v>0</v>
      </c>
      <c r="ADR12" s="2">
        <v>0</v>
      </c>
      <c r="ADS12" s="2">
        <v>0.1</v>
      </c>
      <c r="ADT12" s="2">
        <v>0.06</v>
      </c>
      <c r="ADU12" s="2">
        <v>0.56000000000000005</v>
      </c>
      <c r="ADV12" s="2">
        <v>0</v>
      </c>
      <c r="ADW12" s="2">
        <v>0</v>
      </c>
      <c r="ADX12" s="2">
        <v>1</v>
      </c>
      <c r="ADY12" s="2">
        <v>0.1</v>
      </c>
      <c r="ADZ12" s="2">
        <v>0.9</v>
      </c>
      <c r="AEA12" s="2">
        <v>0</v>
      </c>
      <c r="AEB12" s="2">
        <v>1</v>
      </c>
      <c r="AEC12" s="2">
        <v>0</v>
      </c>
      <c r="AED12" s="2">
        <v>0</v>
      </c>
      <c r="AEE12" s="2">
        <v>0</v>
      </c>
      <c r="AEF12" s="2">
        <v>0</v>
      </c>
      <c r="AEG12" s="2">
        <v>0</v>
      </c>
      <c r="AEH12" s="2">
        <v>1</v>
      </c>
      <c r="AEI12" s="2">
        <v>0</v>
      </c>
      <c r="AEJ12" s="2">
        <v>0</v>
      </c>
      <c r="AEK12" s="2">
        <v>0</v>
      </c>
      <c r="AEL12" s="2">
        <v>1</v>
      </c>
      <c r="AEM12" s="2">
        <v>0</v>
      </c>
      <c r="AEN12" s="2">
        <v>0</v>
      </c>
      <c r="AEO12" s="2">
        <v>0</v>
      </c>
      <c r="AEP12" s="2">
        <v>0</v>
      </c>
      <c r="AEQ12" s="2">
        <v>1</v>
      </c>
      <c r="AER12" s="2">
        <v>0</v>
      </c>
      <c r="AES12" s="2">
        <v>0</v>
      </c>
      <c r="AET12" s="2">
        <v>0</v>
      </c>
      <c r="AEU12" s="2">
        <v>0</v>
      </c>
      <c r="AEV12" s="2">
        <v>0</v>
      </c>
      <c r="AEW12" s="2">
        <v>0.01</v>
      </c>
      <c r="AEX12" s="2">
        <v>0</v>
      </c>
      <c r="AEY12" s="2">
        <v>0</v>
      </c>
      <c r="AEZ12" s="2">
        <v>0</v>
      </c>
      <c r="AFA12" s="2">
        <v>0</v>
      </c>
      <c r="AFB12" s="2">
        <v>0</v>
      </c>
      <c r="AFC12" s="2">
        <v>0</v>
      </c>
      <c r="AFD12" s="2">
        <v>0</v>
      </c>
      <c r="AFE12" s="2">
        <v>0.3</v>
      </c>
      <c r="AFF12" s="2">
        <v>0</v>
      </c>
      <c r="AFG12" s="2">
        <v>0.7</v>
      </c>
      <c r="AFH12" s="2">
        <v>0</v>
      </c>
      <c r="AFI12" s="2">
        <v>0</v>
      </c>
      <c r="AFJ12" s="2">
        <v>0</v>
      </c>
      <c r="AFK12" s="2">
        <v>0</v>
      </c>
      <c r="AFL12" s="2">
        <v>0</v>
      </c>
      <c r="AFM12" s="2">
        <v>0</v>
      </c>
      <c r="AGB12" s="2">
        <v>0.37380000000000002</v>
      </c>
      <c r="AGC12" s="2">
        <v>0.26700000000000002</v>
      </c>
      <c r="AGD12" s="2">
        <v>60</v>
      </c>
      <c r="AGE12" s="2">
        <v>3.5</v>
      </c>
      <c r="AGF12" s="2">
        <v>3.8</v>
      </c>
      <c r="AGG12" s="2">
        <v>2.6753999999999998</v>
      </c>
      <c r="AGH12" s="2">
        <v>2.474745</v>
      </c>
      <c r="AGI12" s="2">
        <v>3.746</v>
      </c>
      <c r="AGJ12" s="2">
        <v>3.5</v>
      </c>
      <c r="AGK12" s="2">
        <v>0.28999999999999998</v>
      </c>
      <c r="AGL12" s="2">
        <v>0.10199999999999999</v>
      </c>
      <c r="AGM12" s="2">
        <v>0.1</v>
      </c>
      <c r="AGN12" s="2">
        <v>0.28999999999999998</v>
      </c>
      <c r="AGO12" s="2">
        <v>0.224</v>
      </c>
      <c r="AGP12" s="2">
        <v>0.21</v>
      </c>
      <c r="AGQ12" s="2">
        <v>2.5</v>
      </c>
      <c r="AGR12" s="2">
        <v>3</v>
      </c>
      <c r="AGS12" s="2">
        <v>1.911</v>
      </c>
      <c r="AGT12" s="2">
        <v>1.7676750000000001</v>
      </c>
      <c r="AGU12" s="2">
        <v>0.26800000000000002</v>
      </c>
      <c r="AGV12" s="2">
        <v>2.5</v>
      </c>
      <c r="AGW12" s="2">
        <v>3.5</v>
      </c>
      <c r="AGX12" s="2">
        <v>3.8219999999999898</v>
      </c>
      <c r="AGY12" s="2">
        <v>2.6753999999999998</v>
      </c>
      <c r="AGZ12" s="2">
        <v>2.474745</v>
      </c>
      <c r="AHA12" s="2">
        <v>3.746</v>
      </c>
      <c r="AHB12" s="2">
        <v>3.5</v>
      </c>
      <c r="AHC12" s="2">
        <v>11</v>
      </c>
      <c r="AHD12" s="2">
        <v>13</v>
      </c>
      <c r="AHE12" s="2">
        <v>16</v>
      </c>
      <c r="AHF12" s="2">
        <v>9.25</v>
      </c>
      <c r="AHG12" s="2">
        <v>14</v>
      </c>
      <c r="AHH12" s="2">
        <v>7.0000000000000007E-2</v>
      </c>
      <c r="AHI12" s="2">
        <v>1.02</v>
      </c>
      <c r="AHJ12" s="2">
        <v>0.1</v>
      </c>
      <c r="AHK12" s="2">
        <v>0</v>
      </c>
      <c r="AHL12" s="2">
        <v>0</v>
      </c>
      <c r="AHM12" s="2">
        <v>0</v>
      </c>
      <c r="AHN12" s="2">
        <v>0</v>
      </c>
      <c r="AHO12" s="2">
        <v>0</v>
      </c>
      <c r="AHP12" s="2">
        <v>0</v>
      </c>
      <c r="AHQ12" s="2">
        <v>88.01</v>
      </c>
      <c r="AHR12" s="2">
        <v>10.8</v>
      </c>
      <c r="AHS12" s="2">
        <v>23.4</v>
      </c>
      <c r="AHT12" s="2">
        <v>2.2360000000000002</v>
      </c>
      <c r="AHU12" s="2">
        <v>0.4</v>
      </c>
      <c r="AHV12" s="2">
        <v>0.6</v>
      </c>
      <c r="AHW12" s="2">
        <v>0.9</v>
      </c>
      <c r="AHX12" s="2">
        <v>0.45</v>
      </c>
      <c r="AHY12" s="2">
        <v>0.3</v>
      </c>
      <c r="AHZ12" s="2">
        <v>1316</v>
      </c>
      <c r="AIA12" s="2">
        <v>105</v>
      </c>
      <c r="AIB12" s="2">
        <v>11520</v>
      </c>
      <c r="AIC12" s="2">
        <v>150</v>
      </c>
      <c r="AID12" s="2">
        <v>0</v>
      </c>
      <c r="AIE12" s="2">
        <v>0</v>
      </c>
      <c r="AIF12" s="2">
        <v>0</v>
      </c>
      <c r="AIG12" s="2">
        <v>0</v>
      </c>
      <c r="AIH12" s="2">
        <v>0</v>
      </c>
      <c r="AII12" s="2">
        <v>0</v>
      </c>
      <c r="AIJ12" s="2">
        <v>0</v>
      </c>
      <c r="AIK12" s="2">
        <v>0</v>
      </c>
      <c r="AIL12" s="2">
        <v>0</v>
      </c>
      <c r="AIM12" s="2">
        <v>0</v>
      </c>
      <c r="AIN12" s="2">
        <v>0</v>
      </c>
      <c r="AIO12" s="2">
        <v>0</v>
      </c>
      <c r="AIP12" s="2">
        <v>-999</v>
      </c>
      <c r="AIQ12" s="2">
        <v>-999</v>
      </c>
      <c r="AIR12" s="2">
        <v>-999</v>
      </c>
      <c r="AIS12" s="2">
        <v>-999</v>
      </c>
      <c r="AIT12" s="2">
        <v>-999</v>
      </c>
      <c r="AIU12" s="2">
        <v>-999</v>
      </c>
      <c r="AIV12" s="2">
        <v>-999</v>
      </c>
      <c r="AIW12" s="2">
        <v>-999</v>
      </c>
      <c r="AIX12" s="2">
        <v>-999</v>
      </c>
      <c r="AIY12" s="2">
        <v>-999</v>
      </c>
      <c r="AIZ12" s="2">
        <v>-999</v>
      </c>
      <c r="AJA12" s="2">
        <v>-999</v>
      </c>
      <c r="AJB12" s="2">
        <v>1200</v>
      </c>
      <c r="AJC12" s="2">
        <v>800</v>
      </c>
      <c r="AJD12" s="2">
        <v>800</v>
      </c>
      <c r="AJE12" s="2">
        <v>4335</v>
      </c>
      <c r="AJF12" s="2">
        <v>4525</v>
      </c>
      <c r="AJG12" s="2">
        <v>6625</v>
      </c>
      <c r="AJH12" s="2">
        <v>4074</v>
      </c>
      <c r="AJI12" s="2">
        <v>2845</v>
      </c>
      <c r="AJJ12" s="2">
        <v>1131.5</v>
      </c>
      <c r="AJK12" s="2">
        <v>3076</v>
      </c>
      <c r="AJL12" s="2">
        <v>3083</v>
      </c>
      <c r="AJM12" s="2">
        <v>7289</v>
      </c>
      <c r="AJN12" s="2">
        <v>3998</v>
      </c>
      <c r="AJO12" s="2">
        <v>3998</v>
      </c>
      <c r="AJP12" s="2">
        <v>850</v>
      </c>
      <c r="AJQ12" s="2">
        <v>3678</v>
      </c>
      <c r="AJR12" s="2">
        <v>3880</v>
      </c>
      <c r="AJS12" s="2">
        <v>167.02500000000001</v>
      </c>
      <c r="AJT12" s="2">
        <v>74.266037735848997</v>
      </c>
      <c r="AJU12" s="8">
        <v>3.358E-5</v>
      </c>
      <c r="AJV12" s="2">
        <v>1.0099</v>
      </c>
      <c r="AJW12" s="8">
        <v>5.8769999999999998E-6</v>
      </c>
      <c r="AJX12" s="2">
        <v>2.6086956521739101E-4</v>
      </c>
      <c r="AJY12" s="2">
        <v>6.3739130434782503</v>
      </c>
      <c r="AJZ12" s="8">
        <v>5.2173913043478202E-5</v>
      </c>
      <c r="AKA12" s="2">
        <v>1</v>
      </c>
      <c r="AKB12" s="2">
        <v>1</v>
      </c>
      <c r="AKC12" s="2">
        <v>1</v>
      </c>
      <c r="AKD12" s="2">
        <v>1</v>
      </c>
      <c r="AKE12" s="2">
        <v>1</v>
      </c>
      <c r="AKF12" s="2">
        <v>1</v>
      </c>
      <c r="AKG12" s="2">
        <v>1</v>
      </c>
      <c r="AKH12" s="2">
        <v>0.1</v>
      </c>
      <c r="AKI12" s="2">
        <v>1</v>
      </c>
      <c r="AKJ12" s="2">
        <v>1</v>
      </c>
      <c r="AKK12" s="2">
        <v>1</v>
      </c>
      <c r="AKL12" s="2">
        <v>1</v>
      </c>
      <c r="AKM12" s="2">
        <v>1</v>
      </c>
      <c r="AKN12" s="2">
        <v>0.1</v>
      </c>
      <c r="AKO12" s="2">
        <v>1</v>
      </c>
      <c r="AKP12" s="2">
        <v>1</v>
      </c>
      <c r="AKQ12" s="2">
        <v>1</v>
      </c>
      <c r="AKR12" s="2">
        <v>1</v>
      </c>
      <c r="AKS12" s="2">
        <v>1</v>
      </c>
      <c r="AKT12" s="2">
        <v>1</v>
      </c>
      <c r="AKU12" s="2">
        <v>1</v>
      </c>
      <c r="AKV12" s="2">
        <v>1</v>
      </c>
      <c r="AKW12" s="2">
        <v>1</v>
      </c>
      <c r="AKX12" s="2">
        <v>1</v>
      </c>
      <c r="AKY12" s="2">
        <v>1</v>
      </c>
      <c r="AKZ12" s="2">
        <v>1</v>
      </c>
      <c r="ALA12" s="2">
        <v>1</v>
      </c>
      <c r="ALB12" s="2">
        <v>1</v>
      </c>
      <c r="ALC12" s="2">
        <v>1</v>
      </c>
      <c r="ALD12" s="2">
        <v>1</v>
      </c>
      <c r="ALE12" s="2">
        <v>1</v>
      </c>
      <c r="ALF12" s="2">
        <v>1</v>
      </c>
      <c r="ALG12" s="2">
        <v>1</v>
      </c>
      <c r="ALH12" s="2">
        <v>1</v>
      </c>
      <c r="ALI12" s="2">
        <v>1</v>
      </c>
      <c r="ALJ12" s="2">
        <v>1</v>
      </c>
      <c r="ALK12" s="2">
        <v>1</v>
      </c>
      <c r="ALL12" s="2">
        <v>1</v>
      </c>
      <c r="ALM12" s="2">
        <v>1</v>
      </c>
      <c r="ALN12" s="2">
        <v>1</v>
      </c>
      <c r="ALO12" s="2">
        <v>1</v>
      </c>
      <c r="ALP12" s="2">
        <v>1</v>
      </c>
      <c r="ALQ12" s="2">
        <v>300</v>
      </c>
      <c r="ALR12" s="2">
        <v>150</v>
      </c>
      <c r="ALS12" s="2">
        <v>150</v>
      </c>
      <c r="ALT12" s="2">
        <v>151.72999999999999</v>
      </c>
      <c r="ALU12" s="2">
        <v>131.62</v>
      </c>
      <c r="ALV12" s="2">
        <v>62.34</v>
      </c>
      <c r="ALW12" s="2">
        <v>42.49</v>
      </c>
      <c r="ALX12" s="2">
        <v>28.89</v>
      </c>
      <c r="ALY12" s="2">
        <v>13.77</v>
      </c>
      <c r="ALZ12" s="2">
        <v>143.22</v>
      </c>
      <c r="AMA12" s="2">
        <v>43.78</v>
      </c>
      <c r="AMB12" s="2">
        <v>113.41</v>
      </c>
      <c r="AMC12" s="2">
        <v>71.94</v>
      </c>
      <c r="AMD12" s="2">
        <v>71.94</v>
      </c>
      <c r="AME12" s="2">
        <v>24.82</v>
      </c>
      <c r="AMF12" s="2">
        <v>24.26</v>
      </c>
      <c r="AMG12" s="2">
        <v>71.37</v>
      </c>
      <c r="AMH12" s="2">
        <v>0</v>
      </c>
      <c r="AMI12" s="2">
        <v>0</v>
      </c>
      <c r="AMJ12" s="2">
        <v>0</v>
      </c>
      <c r="AMK12" s="2">
        <v>0</v>
      </c>
      <c r="AML12" s="9">
        <v>8.5209117375559186E-4</v>
      </c>
      <c r="AMM12" s="2">
        <v>0.35837534616203937</v>
      </c>
      <c r="AMN12" s="2">
        <v>0</v>
      </c>
      <c r="AMO12" s="2">
        <v>0</v>
      </c>
      <c r="AMP12" s="2">
        <v>0</v>
      </c>
      <c r="AMQ12" s="2">
        <v>0</v>
      </c>
      <c r="AMR12" s="2">
        <v>0.29965206277071649</v>
      </c>
      <c r="AMS12" s="2">
        <v>0</v>
      </c>
      <c r="AMT12" s="2">
        <v>0</v>
      </c>
      <c r="AMU12" s="2">
        <v>0.31676489384364126</v>
      </c>
      <c r="AMV12" s="2">
        <v>0</v>
      </c>
      <c r="AMW12" s="2">
        <v>0</v>
      </c>
      <c r="AMX12" s="2">
        <v>2.4355606049847333E-2</v>
      </c>
      <c r="AMY12" s="2">
        <v>1.3034433554879601</v>
      </c>
      <c r="AMZ12" s="2">
        <v>0</v>
      </c>
      <c r="ANA12" s="2">
        <v>1.9670000000000001</v>
      </c>
      <c r="ANB12" s="2">
        <v>0</v>
      </c>
      <c r="ANC12" s="2">
        <v>0</v>
      </c>
      <c r="AND12" s="2">
        <v>1.3149999999999999</v>
      </c>
      <c r="ANE12" s="2">
        <v>0</v>
      </c>
      <c r="ANF12" s="2">
        <v>8.8768668407310704E-3</v>
      </c>
      <c r="ANG12" s="2">
        <v>1</v>
      </c>
      <c r="ANH12" s="2">
        <v>1.0869565217391299</v>
      </c>
      <c r="ANI12" s="2">
        <v>0</v>
      </c>
      <c r="ANJ12" s="2">
        <v>1.00230179028132</v>
      </c>
      <c r="ANK12" s="2">
        <v>7.8260869565217606E-3</v>
      </c>
      <c r="ANL12" s="2">
        <v>7.3657289002557703E-3</v>
      </c>
      <c r="ANM12" s="2">
        <v>4.6035805626598499E-4</v>
      </c>
      <c r="ANN12" s="2">
        <v>5.0639386189258399E-3</v>
      </c>
      <c r="ANO12" s="2">
        <v>0</v>
      </c>
      <c r="ANP12" s="2">
        <v>3.7634408602150601E-2</v>
      </c>
      <c r="ANQ12" s="2">
        <v>3.5420619860847602E-2</v>
      </c>
      <c r="ANR12" s="2">
        <v>2.2137887413029699E-3</v>
      </c>
      <c r="ANS12" s="2">
        <v>0</v>
      </c>
      <c r="ANT12" s="2">
        <v>0</v>
      </c>
      <c r="ANU12" s="2">
        <v>4.0540540540540397E-2</v>
      </c>
      <c r="ANV12" s="2">
        <v>3.8155802861685101E-2</v>
      </c>
      <c r="ANW12" s="2">
        <v>2.3847376788553201E-3</v>
      </c>
      <c r="ANX12" s="2">
        <v>0</v>
      </c>
      <c r="ANY12" s="2">
        <v>0</v>
      </c>
      <c r="ANZ12" s="2">
        <v>1</v>
      </c>
      <c r="AOA12" s="2">
        <v>1</v>
      </c>
      <c r="AOB12" s="2">
        <v>1</v>
      </c>
      <c r="AOC12" s="2">
        <v>2.76E-2</v>
      </c>
      <c r="AOD12" s="2">
        <v>0.94899999999999995</v>
      </c>
      <c r="AOE12" s="2">
        <v>0.2969</v>
      </c>
      <c r="AOF12" s="2">
        <v>0.47910000000000003</v>
      </c>
      <c r="AOG12" s="2">
        <v>0.04</v>
      </c>
      <c r="AOH12" s="2">
        <v>8.5949999999999999E-2</v>
      </c>
      <c r="AOI12" s="2">
        <v>1.405E-2</v>
      </c>
      <c r="AOJ12" s="2">
        <v>1</v>
      </c>
      <c r="AOK12" s="2">
        <v>1</v>
      </c>
      <c r="AOL12" s="2">
        <v>1</v>
      </c>
      <c r="AOM12" s="2">
        <v>0</v>
      </c>
      <c r="AON12" s="2">
        <v>1</v>
      </c>
      <c r="AOO12" s="2">
        <v>0</v>
      </c>
      <c r="AOP12" s="2">
        <v>0</v>
      </c>
      <c r="AOQ12" s="2">
        <v>0</v>
      </c>
      <c r="AOR12" s="2">
        <v>0</v>
      </c>
      <c r="AOS12" s="2">
        <v>1</v>
      </c>
      <c r="AOT12" s="2">
        <v>1</v>
      </c>
      <c r="AOU12" s="2">
        <v>0</v>
      </c>
      <c r="AOV12" s="2">
        <v>1</v>
      </c>
      <c r="AOW12" s="2">
        <v>0</v>
      </c>
      <c r="AOX12" s="2">
        <v>1</v>
      </c>
      <c r="AOY12" s="2">
        <v>0</v>
      </c>
      <c r="AOZ12" s="2">
        <v>1</v>
      </c>
      <c r="APA12" s="2">
        <v>1</v>
      </c>
      <c r="APB12" s="2">
        <v>1</v>
      </c>
      <c r="APC12" s="2">
        <v>1</v>
      </c>
      <c r="APD12" s="2">
        <v>1</v>
      </c>
      <c r="APE12" s="2">
        <v>1.1499999999999999</v>
      </c>
      <c r="APF12" s="2">
        <v>0</v>
      </c>
      <c r="APG12" s="2">
        <v>1</v>
      </c>
      <c r="APH12" s="2">
        <v>0</v>
      </c>
      <c r="API12" s="2">
        <v>1</v>
      </c>
      <c r="APJ12" s="2">
        <v>1</v>
      </c>
      <c r="APK12" s="2">
        <v>1</v>
      </c>
      <c r="APL12" s="2">
        <v>1</v>
      </c>
      <c r="APM12" s="2">
        <v>1</v>
      </c>
      <c r="APN12" s="2">
        <v>1</v>
      </c>
      <c r="APO12" s="2">
        <v>1</v>
      </c>
      <c r="APP12" s="2">
        <v>1</v>
      </c>
      <c r="APQ12" s="2">
        <v>0.5</v>
      </c>
      <c r="APR12" s="2">
        <v>0</v>
      </c>
      <c r="APS12" s="2">
        <v>1</v>
      </c>
      <c r="APT12" s="2">
        <v>0.25</v>
      </c>
      <c r="APU12" s="2">
        <v>0.25</v>
      </c>
      <c r="APV12" s="2">
        <v>0.25</v>
      </c>
      <c r="APW12" s="2">
        <v>0.25</v>
      </c>
      <c r="APX12" s="2">
        <v>0</v>
      </c>
      <c r="APY12" s="2">
        <v>0.5</v>
      </c>
      <c r="APZ12" s="2">
        <v>0</v>
      </c>
      <c r="AQA12" s="2">
        <v>0</v>
      </c>
      <c r="AQB12" s="2">
        <v>0</v>
      </c>
      <c r="AQC12" s="2">
        <v>0</v>
      </c>
      <c r="AQD12" s="2">
        <v>198.95</v>
      </c>
      <c r="AQE12" s="2">
        <v>0.4</v>
      </c>
      <c r="AQF12" s="2">
        <v>0</v>
      </c>
      <c r="AQG12" s="2">
        <v>0</v>
      </c>
      <c r="AQH12" s="2">
        <v>0</v>
      </c>
      <c r="AQI12" s="2">
        <v>3</v>
      </c>
      <c r="AQJ12" s="2">
        <v>0</v>
      </c>
      <c r="AQK12" s="2">
        <v>25</v>
      </c>
      <c r="AQL12" s="2">
        <v>0</v>
      </c>
      <c r="AQM12" s="2">
        <v>-999</v>
      </c>
      <c r="AQN12" s="2">
        <v>-999</v>
      </c>
      <c r="AQO12" s="2">
        <v>-999</v>
      </c>
      <c r="AQP12" s="2">
        <v>-999</v>
      </c>
      <c r="AQQ12" s="2">
        <v>-999</v>
      </c>
      <c r="AQR12" s="2">
        <v>-999</v>
      </c>
      <c r="AQS12" s="2">
        <v>-999</v>
      </c>
      <c r="AQT12" s="2">
        <v>-999</v>
      </c>
      <c r="AQU12" s="2">
        <v>-999</v>
      </c>
      <c r="AQV12" s="2">
        <v>-999</v>
      </c>
      <c r="AQW12" s="2">
        <v>-999</v>
      </c>
      <c r="AQX12" s="2">
        <v>-999</v>
      </c>
      <c r="AQY12" s="2">
        <v>-999</v>
      </c>
      <c r="AQZ12" s="2">
        <v>0</v>
      </c>
      <c r="ARA12" s="2">
        <v>-999</v>
      </c>
      <c r="ARB12" s="2">
        <v>-999</v>
      </c>
      <c r="ARC12" s="2">
        <v>-999</v>
      </c>
      <c r="ARD12" s="2">
        <v>-999</v>
      </c>
      <c r="ARE12" s="2">
        <v>-999</v>
      </c>
      <c r="ARF12" s="2">
        <v>-999</v>
      </c>
      <c r="ARG12" s="2">
        <v>-999</v>
      </c>
      <c r="ARH12" s="2">
        <v>-999</v>
      </c>
      <c r="ARI12" s="2">
        <v>-999</v>
      </c>
      <c r="ARJ12" s="2">
        <v>-999</v>
      </c>
      <c r="ARK12" s="2">
        <v>-999</v>
      </c>
      <c r="ARL12" s="2">
        <v>-999</v>
      </c>
      <c r="ARM12" s="2">
        <v>-999</v>
      </c>
      <c r="ARN12" s="2">
        <v>-999</v>
      </c>
      <c r="ARO12" s="2">
        <v>-999</v>
      </c>
      <c r="ARP12" s="2">
        <v>-999</v>
      </c>
      <c r="ARQ12" s="2">
        <v>-999</v>
      </c>
      <c r="ARR12" s="2">
        <v>-999</v>
      </c>
      <c r="ARS12" s="2">
        <v>-999</v>
      </c>
      <c r="ART12" s="2">
        <v>-999</v>
      </c>
      <c r="ARU12" s="2">
        <v>-999</v>
      </c>
      <c r="ARV12" s="2">
        <v>-999</v>
      </c>
      <c r="ARW12" s="2">
        <v>-999</v>
      </c>
      <c r="ARX12" s="2">
        <v>-999</v>
      </c>
      <c r="ARY12" s="2">
        <v>-999</v>
      </c>
      <c r="ARZ12" s="2">
        <v>-999</v>
      </c>
      <c r="ASA12" s="2">
        <v>-999</v>
      </c>
      <c r="ASB12" s="2">
        <v>-999</v>
      </c>
      <c r="ASC12" s="2">
        <v>-999</v>
      </c>
      <c r="ASD12" s="2">
        <v>-999</v>
      </c>
      <c r="ASE12" s="2">
        <v>-999</v>
      </c>
      <c r="ASF12" s="2">
        <v>-999</v>
      </c>
      <c r="ASG12" s="2">
        <v>-999</v>
      </c>
      <c r="ASH12" s="2">
        <v>-999</v>
      </c>
      <c r="ASI12" s="2">
        <v>-999</v>
      </c>
      <c r="ASJ12" s="2">
        <v>-999</v>
      </c>
      <c r="ASK12" s="2">
        <v>-999</v>
      </c>
      <c r="ASL12" s="2">
        <v>-999</v>
      </c>
      <c r="ASM12" s="2">
        <v>-999</v>
      </c>
      <c r="ASN12" s="2">
        <v>-999</v>
      </c>
      <c r="ASO12" s="2">
        <v>-999</v>
      </c>
      <c r="ASP12" s="2">
        <v>4.51</v>
      </c>
      <c r="ASQ12" s="2">
        <v>133</v>
      </c>
      <c r="ASR12" s="2">
        <v>11.49</v>
      </c>
      <c r="ASS12" s="2">
        <v>78.8</v>
      </c>
      <c r="AST12" s="2">
        <v>6.11</v>
      </c>
      <c r="ASU12" s="2">
        <v>2.3199999999999998</v>
      </c>
      <c r="ASV12" s="2">
        <v>1.21</v>
      </c>
      <c r="ASW12" s="2">
        <v>26</v>
      </c>
      <c r="ASX12" s="2">
        <v>2.81</v>
      </c>
      <c r="ASY12" s="2">
        <v>3.22</v>
      </c>
      <c r="ASZ12" s="2">
        <v>183.3</v>
      </c>
      <c r="ATA12" s="2">
        <v>30</v>
      </c>
      <c r="ATB12" s="2">
        <v>120</v>
      </c>
      <c r="ATC12" s="2">
        <v>40</v>
      </c>
      <c r="ATD12" s="2">
        <v>0.3</v>
      </c>
      <c r="ATE12" s="2">
        <v>1.55</v>
      </c>
      <c r="ATF12" s="2">
        <v>0</v>
      </c>
      <c r="ATG12" s="2">
        <v>1.8140000000000001</v>
      </c>
      <c r="ATI12" s="2">
        <v>250</v>
      </c>
      <c r="ATJ12" s="2">
        <v>1</v>
      </c>
      <c r="ATK12" s="2">
        <v>2</v>
      </c>
      <c r="ATL12" s="2">
        <v>70</v>
      </c>
      <c r="ATM12" s="2">
        <v>470</v>
      </c>
      <c r="ATN12" s="2">
        <v>15</v>
      </c>
      <c r="ATO12" s="2">
        <v>2.8</v>
      </c>
      <c r="ATP12" s="2">
        <v>15</v>
      </c>
      <c r="ATQ12" s="2">
        <v>3.7</v>
      </c>
      <c r="ATR12" s="10">
        <v>17320520</v>
      </c>
      <c r="ATS12" s="10">
        <v>3888480</v>
      </c>
      <c r="ATT12" s="2">
        <v>100000</v>
      </c>
      <c r="ATU12" s="2">
        <v>80000</v>
      </c>
      <c r="ATV12" s="2">
        <v>5000</v>
      </c>
      <c r="ATW12" s="2">
        <v>14000</v>
      </c>
      <c r="ATX12" s="2">
        <v>1400</v>
      </c>
      <c r="ATY12" s="2">
        <v>10000</v>
      </c>
      <c r="ATZ12" s="2">
        <v>108</v>
      </c>
      <c r="AUA12" s="2">
        <v>105000</v>
      </c>
      <c r="AUB12" s="2">
        <v>100000</v>
      </c>
      <c r="AUC12" s="2">
        <v>0</v>
      </c>
      <c r="AUD12" s="2">
        <v>0</v>
      </c>
      <c r="AUE12" s="2">
        <v>0</v>
      </c>
      <c r="AUF12" s="2">
        <v>0</v>
      </c>
      <c r="AUG12" s="2">
        <v>0</v>
      </c>
      <c r="AUH12" s="2">
        <v>0</v>
      </c>
      <c r="AUI12" s="2">
        <v>5000</v>
      </c>
      <c r="AUJ12" s="2">
        <v>400000</v>
      </c>
      <c r="AUK12" s="2">
        <v>1424850.75</v>
      </c>
      <c r="AUL12" s="2">
        <v>0</v>
      </c>
      <c r="AUM12" s="2">
        <v>0.9</v>
      </c>
      <c r="AUN12" s="2">
        <v>1.2</v>
      </c>
      <c r="AUO12" s="2">
        <v>0.01</v>
      </c>
      <c r="AUP12" s="2">
        <v>2.6</v>
      </c>
      <c r="AUQ12" s="2">
        <v>0</v>
      </c>
      <c r="AUR12" s="2">
        <v>7.8</v>
      </c>
      <c r="AUS12" s="2">
        <v>0.6</v>
      </c>
      <c r="AUT12" s="2">
        <v>6</v>
      </c>
      <c r="AUU12" s="2">
        <v>0</v>
      </c>
      <c r="AUV12" s="2">
        <v>0</v>
      </c>
      <c r="AUW12" s="2">
        <v>0</v>
      </c>
      <c r="AUX12" s="2">
        <v>0</v>
      </c>
      <c r="AUY12" s="2">
        <v>0.1</v>
      </c>
      <c r="AUZ12" s="2">
        <v>2</v>
      </c>
      <c r="AVA12" s="2">
        <v>4</v>
      </c>
      <c r="AVB12" s="2">
        <v>0.6</v>
      </c>
      <c r="AVC12" s="2">
        <v>0.5</v>
      </c>
      <c r="AVD12" s="2">
        <v>0.95</v>
      </c>
      <c r="AVE12" s="2">
        <v>1</v>
      </c>
      <c r="AVF12" s="2">
        <v>1</v>
      </c>
      <c r="AVG12" s="2">
        <v>1</v>
      </c>
      <c r="AVH12" s="2">
        <v>1</v>
      </c>
      <c r="AVI12" s="2">
        <v>1</v>
      </c>
      <c r="AVJ12" s="2">
        <v>1</v>
      </c>
      <c r="AVK12" s="2">
        <v>1</v>
      </c>
      <c r="AVL12" s="2">
        <v>1</v>
      </c>
      <c r="AVM12" s="2">
        <v>1</v>
      </c>
      <c r="AVN12" s="2">
        <v>1</v>
      </c>
      <c r="AVO12" s="2">
        <v>1</v>
      </c>
      <c r="AVP12" s="2">
        <v>1</v>
      </c>
      <c r="AVQ12" s="2">
        <v>1</v>
      </c>
      <c r="AVR12" s="2">
        <v>1</v>
      </c>
      <c r="AVS12" s="2">
        <v>1</v>
      </c>
      <c r="AVT12" s="2">
        <v>1</v>
      </c>
      <c r="AVU12" s="2">
        <v>1</v>
      </c>
      <c r="AVV12" s="2">
        <v>1</v>
      </c>
      <c r="AVW12" s="2">
        <v>1</v>
      </c>
      <c r="AVX12" s="2">
        <v>1</v>
      </c>
      <c r="AVY12" s="2">
        <v>1</v>
      </c>
      <c r="AVZ12" s="2">
        <v>1</v>
      </c>
      <c r="AWA12" s="2">
        <v>1</v>
      </c>
      <c r="AWB12" s="2">
        <v>1</v>
      </c>
      <c r="AWC12" s="2">
        <v>1</v>
      </c>
      <c r="AWD12" s="2">
        <v>1</v>
      </c>
      <c r="AWE12" s="2">
        <v>60</v>
      </c>
      <c r="AWF12" s="2">
        <v>5</v>
      </c>
      <c r="AWG12" s="2">
        <v>4.5</v>
      </c>
      <c r="AWH12" s="2">
        <v>74.14</v>
      </c>
      <c r="AWI12" s="2">
        <v>14.57</v>
      </c>
      <c r="AWJ12" s="2">
        <v>14.57</v>
      </c>
      <c r="AWK12" s="2">
        <v>0.45</v>
      </c>
      <c r="AWL12" s="2">
        <v>25</v>
      </c>
      <c r="AWM12" s="2">
        <v>2</v>
      </c>
      <c r="AWN12" s="2">
        <v>1</v>
      </c>
      <c r="AWO12" s="2">
        <v>4</v>
      </c>
      <c r="AWP12" s="2">
        <v>25</v>
      </c>
      <c r="AWQ12" s="2">
        <v>5</v>
      </c>
      <c r="AWR12" s="2">
        <v>19</v>
      </c>
      <c r="AWS12" s="2">
        <v>25</v>
      </c>
      <c r="AWT12" s="2">
        <v>2</v>
      </c>
      <c r="AWU12" s="2">
        <v>3.4</v>
      </c>
      <c r="AWV12" s="2">
        <v>3</v>
      </c>
      <c r="AWW12" s="2">
        <v>4</v>
      </c>
      <c r="AWX12" s="2">
        <v>16</v>
      </c>
      <c r="AWY12" s="2">
        <v>16</v>
      </c>
      <c r="AWZ12" s="2">
        <v>25</v>
      </c>
      <c r="AXA12" s="2">
        <v>25</v>
      </c>
      <c r="AXB12" s="2">
        <v>25</v>
      </c>
    </row>
    <row r="13" spans="1:1302" x14ac:dyDescent="0.3">
      <c r="A13" s="1">
        <v>2015</v>
      </c>
      <c r="B13" s="2">
        <v>6552500</v>
      </c>
      <c r="C13" s="2">
        <v>0</v>
      </c>
      <c r="D13" s="2">
        <v>2317</v>
      </c>
      <c r="E13" s="2">
        <v>20</v>
      </c>
      <c r="F13" s="2">
        <v>2000</v>
      </c>
      <c r="G13" s="2">
        <v>1</v>
      </c>
      <c r="H13" s="2">
        <v>0.4</v>
      </c>
      <c r="I13" s="2">
        <v>5.0000000000000001E-3</v>
      </c>
      <c r="J13" s="2">
        <v>0.02</v>
      </c>
      <c r="K13" s="2">
        <v>1E-3</v>
      </c>
      <c r="L13" s="2">
        <v>7.0000000000000001E-3</v>
      </c>
      <c r="M13" s="2">
        <v>1E-3</v>
      </c>
      <c r="N13" s="2">
        <v>0.05</v>
      </c>
      <c r="O13" s="2">
        <v>4.7000000000000002E-3</v>
      </c>
      <c r="P13" s="2">
        <v>0.115</v>
      </c>
      <c r="Q13" s="2">
        <v>1.09E-2</v>
      </c>
      <c r="R13" s="2">
        <v>6.0000000000000001E-3</v>
      </c>
      <c r="S13" s="2">
        <v>1.7000000000000001E-2</v>
      </c>
      <c r="T13" s="2">
        <v>7.9000000000000001E-2</v>
      </c>
      <c r="U13" s="2">
        <v>2.2899999999999999E-3</v>
      </c>
      <c r="V13" s="2">
        <v>1.1999999999999999E-3</v>
      </c>
      <c r="W13" s="2">
        <v>8.0000000000000004E-4</v>
      </c>
      <c r="X13" s="2">
        <v>1.6E-2</v>
      </c>
      <c r="Y13" s="2">
        <v>1.4999999999999999E-2</v>
      </c>
      <c r="Z13" s="2">
        <v>2.5000000000000001E-2</v>
      </c>
      <c r="AA13" s="2">
        <v>0</v>
      </c>
      <c r="AB13" s="2">
        <v>12.39</v>
      </c>
      <c r="AC13" s="2">
        <v>2.61</v>
      </c>
      <c r="AD13" s="4">
        <v>8.3497571863201738</v>
      </c>
      <c r="AE13" s="5">
        <v>126.22410147991542</v>
      </c>
      <c r="AF13" s="5">
        <v>402.5370408842345</v>
      </c>
      <c r="AG13" s="2">
        <v>0</v>
      </c>
      <c r="AH13" s="2">
        <v>0</v>
      </c>
      <c r="AI13" s="2">
        <v>800</v>
      </c>
      <c r="AJ13" s="2">
        <v>18.989999999999998</v>
      </c>
      <c r="AK13" s="2">
        <v>18.600000000000001</v>
      </c>
      <c r="AL13" s="2">
        <v>62</v>
      </c>
      <c r="AM13" s="6">
        <f t="shared" si="0"/>
        <v>113.32132352941177</v>
      </c>
      <c r="AN13" s="7">
        <v>84.191176470588232</v>
      </c>
      <c r="AO13" s="2">
        <v>0</v>
      </c>
      <c r="AP13" s="6">
        <v>663</v>
      </c>
      <c r="AQ13" s="7">
        <v>698.52941176470586</v>
      </c>
      <c r="AR13" s="2">
        <v>52.83</v>
      </c>
      <c r="AS13" s="2">
        <v>0</v>
      </c>
      <c r="AT13" s="7">
        <v>977.94117647058829</v>
      </c>
      <c r="AU13" s="2">
        <v>0</v>
      </c>
      <c r="AV13" s="2">
        <v>0</v>
      </c>
      <c r="AW13" s="2">
        <v>0</v>
      </c>
      <c r="AX13" s="2">
        <v>0</v>
      </c>
      <c r="AY13" s="2">
        <v>420</v>
      </c>
      <c r="AZ13" s="2">
        <v>9.99</v>
      </c>
      <c r="BA13" s="2">
        <v>74758.66</v>
      </c>
      <c r="BB13" s="2">
        <v>570</v>
      </c>
      <c r="BC13" s="2">
        <v>9380</v>
      </c>
      <c r="BD13" s="2">
        <v>3</v>
      </c>
      <c r="BE13" s="2">
        <v>0.4</v>
      </c>
      <c r="BF13" s="2">
        <v>29512</v>
      </c>
      <c r="BG13" s="2">
        <v>1733</v>
      </c>
      <c r="BH13" s="2">
        <v>0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1</v>
      </c>
      <c r="BX13" s="2">
        <v>1</v>
      </c>
      <c r="BY13" s="2">
        <v>1</v>
      </c>
      <c r="BZ13" s="2">
        <v>1</v>
      </c>
      <c r="CA13" s="2">
        <v>1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</v>
      </c>
      <c r="CH13" s="2">
        <v>1</v>
      </c>
      <c r="CI13" s="2">
        <v>1</v>
      </c>
      <c r="CJ13" s="2">
        <v>1</v>
      </c>
      <c r="CK13" s="2">
        <v>1</v>
      </c>
      <c r="CL13" s="2">
        <v>1</v>
      </c>
      <c r="CM13" s="2">
        <v>0</v>
      </c>
      <c r="CN13" s="2">
        <v>54.6</v>
      </c>
      <c r="CO13" s="2">
        <v>112</v>
      </c>
      <c r="CP13" s="2">
        <v>94.6</v>
      </c>
      <c r="CQ13" s="2">
        <v>97.016666666666595</v>
      </c>
      <c r="CR13" s="2">
        <v>103.833333333333</v>
      </c>
      <c r="CS13" s="2">
        <v>73.3</v>
      </c>
      <c r="CT13" s="2">
        <v>74.099999999999994</v>
      </c>
      <c r="CU13" s="2">
        <v>0</v>
      </c>
      <c r="CV13" s="2">
        <v>221</v>
      </c>
      <c r="CW13" s="2">
        <v>69.766666666666595</v>
      </c>
      <c r="CX13" s="2">
        <v>0</v>
      </c>
      <c r="CY13" s="2">
        <v>63.1</v>
      </c>
      <c r="CZ13" s="2">
        <v>0</v>
      </c>
      <c r="DA13" s="2">
        <v>0</v>
      </c>
      <c r="DB13" s="2">
        <v>71.7</v>
      </c>
      <c r="DC13" s="2">
        <v>60.15</v>
      </c>
      <c r="DD13" s="2">
        <v>60.15</v>
      </c>
      <c r="DE13" s="2">
        <v>0</v>
      </c>
      <c r="DF13" s="2">
        <v>0</v>
      </c>
      <c r="DG13" s="2">
        <v>75.349999999999994</v>
      </c>
      <c r="DH13" s="2">
        <v>95.066666666666606</v>
      </c>
      <c r="DI13" s="2">
        <v>0</v>
      </c>
      <c r="DJ13" s="2">
        <v>100.37</v>
      </c>
      <c r="DK13" s="2">
        <v>0</v>
      </c>
      <c r="DL13" s="2">
        <v>3.0000000000000001E-3</v>
      </c>
      <c r="DM13" s="2">
        <v>1E-3</v>
      </c>
      <c r="DN13" s="2">
        <v>1.6E-2</v>
      </c>
      <c r="DO13" s="2">
        <v>1E-3</v>
      </c>
      <c r="DP13" s="2">
        <v>1E-3</v>
      </c>
      <c r="DQ13" s="2">
        <v>1.6666666666666601E-3</v>
      </c>
      <c r="DR13" s="2">
        <v>3.0000000000000001E-3</v>
      </c>
      <c r="DS13" s="2">
        <v>3.0000000000000001E-3</v>
      </c>
      <c r="DT13" s="2">
        <v>0</v>
      </c>
      <c r="DU13" s="2">
        <v>1E-3</v>
      </c>
      <c r="DV13" s="2">
        <v>3.0000000000000001E-3</v>
      </c>
      <c r="DW13" s="2">
        <v>0</v>
      </c>
      <c r="DX13" s="2">
        <v>1E-3</v>
      </c>
      <c r="DY13" s="2">
        <v>0</v>
      </c>
      <c r="DZ13" s="2">
        <v>0</v>
      </c>
      <c r="EA13" s="2">
        <v>3.0000000000000001E-3</v>
      </c>
      <c r="EB13" s="2">
        <v>2E-3</v>
      </c>
      <c r="EC13" s="2">
        <v>2E-3</v>
      </c>
      <c r="ED13" s="2">
        <v>0</v>
      </c>
      <c r="EE13" s="2">
        <v>0</v>
      </c>
      <c r="EF13" s="2">
        <v>1.6500000000000001E-2</v>
      </c>
      <c r="EG13" s="2">
        <v>1E-3</v>
      </c>
      <c r="EH13" s="2">
        <v>0</v>
      </c>
      <c r="EI13" s="2">
        <v>2.79</v>
      </c>
      <c r="EJ13" s="2">
        <v>0</v>
      </c>
      <c r="EK13" s="2">
        <v>5.9999999999999995E-4</v>
      </c>
      <c r="EL13" s="2">
        <v>1E-4</v>
      </c>
      <c r="EM13" s="2">
        <v>2.875E-3</v>
      </c>
      <c r="EN13" s="2">
        <v>1.5E-3</v>
      </c>
      <c r="EO13" s="2">
        <v>1.5E-3</v>
      </c>
      <c r="EP13" s="2">
        <v>7.3333333333333302E-4</v>
      </c>
      <c r="EQ13" s="2">
        <v>5.9999999999999995E-4</v>
      </c>
      <c r="ER13" s="2">
        <v>5.9999999999999995E-4</v>
      </c>
      <c r="ES13" s="2">
        <v>0</v>
      </c>
      <c r="ET13" s="2">
        <v>1E-4</v>
      </c>
      <c r="EU13" s="2">
        <v>5.9999999999999995E-4</v>
      </c>
      <c r="EV13" s="2">
        <v>0</v>
      </c>
      <c r="EW13" s="2">
        <v>1E-4</v>
      </c>
      <c r="EX13" s="2">
        <v>0</v>
      </c>
      <c r="EY13" s="2">
        <v>0</v>
      </c>
      <c r="EZ13" s="2">
        <v>5.9999999999999995E-4</v>
      </c>
      <c r="FA13" s="2">
        <v>3.5E-4</v>
      </c>
      <c r="FB13" s="2">
        <v>3.5E-4</v>
      </c>
      <c r="FC13" s="2">
        <v>0</v>
      </c>
      <c r="FD13" s="2">
        <v>0</v>
      </c>
      <c r="FE13" s="2">
        <v>2.3E-3</v>
      </c>
      <c r="FF13" s="2">
        <v>1.5E-3</v>
      </c>
      <c r="FG13" s="2">
        <v>0</v>
      </c>
      <c r="FH13" s="2">
        <v>9.5899999999999996E-3</v>
      </c>
      <c r="FI13" s="2">
        <v>0</v>
      </c>
      <c r="FJ13" s="8">
        <v>1.6583123951776999E-6</v>
      </c>
      <c r="FK13" s="8">
        <v>8.4498520697110406E-8</v>
      </c>
      <c r="FL13" s="8">
        <v>2.4E-8</v>
      </c>
      <c r="FM13" s="2">
        <v>1.4105270168067501E-4</v>
      </c>
      <c r="FN13" s="8">
        <v>3.23821170194798E-9</v>
      </c>
      <c r="FO13" s="8">
        <v>2.46779253585061E-5</v>
      </c>
      <c r="FP13" s="2">
        <v>5.1415182085719699E-2</v>
      </c>
      <c r="FQ13" s="8">
        <v>4.89277622940513E-6</v>
      </c>
      <c r="FR13" s="2">
        <v>3.99749921826133E-2</v>
      </c>
      <c r="FS13" s="8">
        <v>6.3213623094501506E-11</v>
      </c>
      <c r="FT13" s="8">
        <v>6.3213922517116401E-7</v>
      </c>
      <c r="FU13" s="8">
        <v>2.6021139604446299E-9</v>
      </c>
      <c r="FV13" s="2">
        <v>6.2529992803453897E-3</v>
      </c>
      <c r="FW13" s="2">
        <v>0</v>
      </c>
      <c r="FX13" s="8">
        <v>3.2490625588560901E-6</v>
      </c>
      <c r="FY13" s="2">
        <v>9.2441948549119596E-3</v>
      </c>
      <c r="FZ13" s="2">
        <v>0</v>
      </c>
      <c r="GA13" s="8">
        <v>6.1712669934061603E-5</v>
      </c>
      <c r="GB13" s="2">
        <v>1.02490704319759E-2</v>
      </c>
      <c r="GC13" s="8">
        <v>6.8E-8</v>
      </c>
      <c r="GD13" s="8">
        <v>5.4211433772233295E-7</v>
      </c>
      <c r="GE13" s="2">
        <v>1.40263261984831E-2</v>
      </c>
      <c r="GF13" s="2">
        <v>1.52432705551728E-2</v>
      </c>
      <c r="GG13" s="2">
        <v>1.02176318195558E-2</v>
      </c>
      <c r="GH13" s="2">
        <v>5.1633091233467803E-3</v>
      </c>
      <c r="GI13" s="2">
        <v>2.1213203435596398E-3</v>
      </c>
      <c r="GJ13" s="2">
        <v>0</v>
      </c>
      <c r="GK13" s="2">
        <v>1.87616630392937E-3</v>
      </c>
      <c r="GL13" s="8">
        <v>6.4583997501198804E-7</v>
      </c>
      <c r="GM13" s="8">
        <v>1.52E-5</v>
      </c>
      <c r="GN13" s="8">
        <v>6.2528652183015504E-9</v>
      </c>
      <c r="GO13" s="8">
        <v>1.395E-6</v>
      </c>
      <c r="GP13" s="2">
        <v>0</v>
      </c>
      <c r="GQ13" s="8">
        <v>1.82429989565185E-8</v>
      </c>
      <c r="GR13" s="2">
        <v>1.5200000000000001E-4</v>
      </c>
      <c r="GS13" s="2">
        <v>1</v>
      </c>
      <c r="GT13" s="2">
        <v>0</v>
      </c>
      <c r="GU13" s="8">
        <v>8.0000000000000007E-5</v>
      </c>
      <c r="GV13" s="8">
        <v>8.0000000000000007E-5</v>
      </c>
      <c r="GW13" s="2">
        <v>1</v>
      </c>
      <c r="GX13" s="2">
        <v>0</v>
      </c>
      <c r="GY13" s="2">
        <v>1</v>
      </c>
      <c r="GZ13" s="2">
        <v>1</v>
      </c>
      <c r="HA13" s="2">
        <v>0</v>
      </c>
      <c r="HB13" s="2">
        <v>0</v>
      </c>
      <c r="HC13" s="8">
        <v>2.0000000000000002E-5</v>
      </c>
      <c r="HD13" s="2">
        <v>1</v>
      </c>
      <c r="HE13" s="2">
        <v>1</v>
      </c>
      <c r="HF13" s="2">
        <v>1</v>
      </c>
      <c r="HG13" s="2">
        <v>1</v>
      </c>
      <c r="HH13" s="2">
        <v>1</v>
      </c>
      <c r="HI13" s="2">
        <v>1</v>
      </c>
      <c r="HJ13" s="2">
        <v>0</v>
      </c>
      <c r="HK13" s="2">
        <v>1</v>
      </c>
      <c r="HL13" s="2">
        <v>0</v>
      </c>
      <c r="HM13" s="8">
        <v>1.9999999999999999E-6</v>
      </c>
      <c r="HN13" s="8">
        <v>4.0000000000000001E-8</v>
      </c>
      <c r="HO13" s="2">
        <v>1</v>
      </c>
      <c r="HP13" s="2">
        <v>0</v>
      </c>
      <c r="HQ13" s="2">
        <v>0</v>
      </c>
      <c r="HR13" s="8">
        <v>5.9999999999999997E-7</v>
      </c>
      <c r="HS13" s="2">
        <v>1</v>
      </c>
      <c r="HT13" s="2">
        <v>1</v>
      </c>
      <c r="HU13" s="2">
        <v>0</v>
      </c>
      <c r="HV13" s="2">
        <v>0</v>
      </c>
      <c r="HW13" s="8">
        <v>7.9999999999999996E-6</v>
      </c>
      <c r="HX13" s="2">
        <v>1</v>
      </c>
      <c r="HY13" s="2">
        <v>0</v>
      </c>
      <c r="HZ13" s="2">
        <v>2.0000000000000001E-4</v>
      </c>
      <c r="IA13" s="2">
        <v>0</v>
      </c>
      <c r="IB13" s="2">
        <v>1</v>
      </c>
      <c r="IC13" s="2">
        <v>0</v>
      </c>
      <c r="ID13" s="8">
        <v>1.9999999999999999E-6</v>
      </c>
      <c r="IE13" s="2">
        <v>0</v>
      </c>
      <c r="IF13" s="2">
        <v>0</v>
      </c>
      <c r="IG13" s="2">
        <v>0</v>
      </c>
      <c r="IH13" s="2">
        <v>1</v>
      </c>
      <c r="II13" s="2">
        <v>1</v>
      </c>
      <c r="IJ13" s="2">
        <v>0</v>
      </c>
      <c r="IK13" s="2">
        <v>0</v>
      </c>
      <c r="IL13" s="2">
        <v>1.16E-3</v>
      </c>
      <c r="IM13" s="2">
        <v>1.7357142857142799E-4</v>
      </c>
      <c r="IN13" s="2">
        <v>3.9654299999999998E-3</v>
      </c>
      <c r="IO13" s="2">
        <v>1</v>
      </c>
      <c r="IP13" s="2">
        <v>1</v>
      </c>
      <c r="IQ13" s="2">
        <v>0</v>
      </c>
      <c r="IR13" s="2">
        <v>0</v>
      </c>
      <c r="IS13" s="2">
        <v>1</v>
      </c>
      <c r="IT13" s="2">
        <v>1</v>
      </c>
      <c r="IU13" s="2">
        <v>3.0000000000000001E-3</v>
      </c>
      <c r="IV13" s="8">
        <v>3.0000000000000001E-5</v>
      </c>
      <c r="IW13" s="2">
        <v>3.15</v>
      </c>
      <c r="IX13" s="2">
        <v>3.08</v>
      </c>
      <c r="IY13" s="2">
        <v>0.52</v>
      </c>
      <c r="IZ13" s="2">
        <v>0.848907407407407</v>
      </c>
      <c r="JA13" s="2">
        <v>0.2</v>
      </c>
      <c r="JB13" s="2">
        <v>0.75</v>
      </c>
      <c r="JC13" s="2">
        <v>1.8667380952380901</v>
      </c>
      <c r="JD13" s="2">
        <v>1.43807229</v>
      </c>
      <c r="JE13" s="2">
        <v>1</v>
      </c>
      <c r="JF13" s="2">
        <v>3.7409999999999999E-2</v>
      </c>
      <c r="JG13" s="2">
        <v>6.9999999999999999E-4</v>
      </c>
      <c r="JH13" s="2">
        <v>0</v>
      </c>
      <c r="JI13" s="2">
        <v>1E-4</v>
      </c>
      <c r="JJ13" s="2">
        <v>1</v>
      </c>
      <c r="JK13" s="8">
        <v>6.0000000000000002E-6</v>
      </c>
      <c r="JL13" s="8">
        <v>6.0000000000000002E-6</v>
      </c>
      <c r="JM13" s="8">
        <v>6.0000000000000002E-6</v>
      </c>
      <c r="JN13" s="2">
        <v>0.5</v>
      </c>
      <c r="JO13" s="2">
        <v>2</v>
      </c>
      <c r="JP13" s="2">
        <v>13.315</v>
      </c>
      <c r="JQ13" s="2">
        <v>3.71</v>
      </c>
      <c r="JR13" s="2">
        <v>77</v>
      </c>
      <c r="JS13" s="2">
        <v>3.9</v>
      </c>
      <c r="JT13" s="2">
        <v>20.6</v>
      </c>
      <c r="JU13" s="2">
        <v>62</v>
      </c>
      <c r="JV13" s="2">
        <v>350</v>
      </c>
      <c r="JW13" s="2">
        <v>41</v>
      </c>
      <c r="JX13" s="2">
        <v>3.9</v>
      </c>
      <c r="JY13" s="2">
        <v>5.6</v>
      </c>
      <c r="JZ13" s="2">
        <v>0.2</v>
      </c>
      <c r="KA13" s="2">
        <v>3</v>
      </c>
      <c r="KB13" s="2">
        <v>4.1500000000000004</v>
      </c>
      <c r="KC13" s="2">
        <v>350</v>
      </c>
      <c r="KD13" s="2">
        <v>28.6</v>
      </c>
      <c r="KE13" s="2">
        <v>3</v>
      </c>
      <c r="KF13" s="2">
        <v>4.1500000000000004</v>
      </c>
      <c r="KG13" s="2">
        <v>350</v>
      </c>
      <c r="KH13" s="2">
        <v>28.6</v>
      </c>
      <c r="KI13" s="2">
        <v>3</v>
      </c>
      <c r="KJ13" s="2">
        <v>77</v>
      </c>
      <c r="KK13" s="2">
        <v>3.9</v>
      </c>
      <c r="KL13" s="2">
        <v>20.6</v>
      </c>
      <c r="KM13" s="2">
        <v>62</v>
      </c>
      <c r="KN13" s="2">
        <v>350</v>
      </c>
      <c r="KO13" s="2">
        <v>41</v>
      </c>
      <c r="KP13" s="2">
        <v>3.9</v>
      </c>
      <c r="KQ13" s="2">
        <v>5.6</v>
      </c>
      <c r="KR13" s="2">
        <v>0.2</v>
      </c>
      <c r="KS13" s="2">
        <v>3</v>
      </c>
      <c r="KT13" s="2">
        <v>77</v>
      </c>
      <c r="KU13" s="2">
        <v>3.9</v>
      </c>
      <c r="KV13" s="2">
        <v>20.6</v>
      </c>
      <c r="KW13" s="2">
        <v>62</v>
      </c>
      <c r="KX13" s="2">
        <v>350</v>
      </c>
      <c r="KY13" s="2">
        <v>41</v>
      </c>
      <c r="KZ13" s="2">
        <v>3.9</v>
      </c>
      <c r="LA13" s="2">
        <v>5.6</v>
      </c>
      <c r="LB13" s="2">
        <v>0.2</v>
      </c>
      <c r="LC13" s="2">
        <v>3</v>
      </c>
      <c r="LD13" s="2">
        <v>18</v>
      </c>
      <c r="LE13" s="2">
        <v>3.9</v>
      </c>
      <c r="LF13" s="2">
        <v>20.6</v>
      </c>
      <c r="LG13" s="2">
        <v>62</v>
      </c>
      <c r="LH13" s="2">
        <v>41</v>
      </c>
      <c r="LI13" s="2">
        <v>3.9</v>
      </c>
      <c r="LJ13" s="2">
        <v>5.6</v>
      </c>
      <c r="LK13" s="2">
        <v>0.2</v>
      </c>
      <c r="LL13" s="2">
        <v>7</v>
      </c>
      <c r="LM13" s="2">
        <v>350</v>
      </c>
      <c r="LN13" s="2">
        <v>2</v>
      </c>
      <c r="LO13" s="2">
        <v>3</v>
      </c>
      <c r="LP13" s="2">
        <v>0.95</v>
      </c>
      <c r="LQ13" s="2">
        <v>0.8</v>
      </c>
      <c r="LR13" s="2">
        <v>0.8</v>
      </c>
      <c r="LS13" s="2">
        <v>0.6</v>
      </c>
      <c r="LT13" s="2">
        <v>0.78</v>
      </c>
      <c r="LU13" s="2">
        <v>0.6</v>
      </c>
      <c r="LV13" s="2">
        <v>0.82</v>
      </c>
      <c r="LW13" s="2">
        <v>3.2</v>
      </c>
      <c r="LX13" s="2">
        <v>0.8</v>
      </c>
      <c r="LY13" s="2">
        <v>0.85</v>
      </c>
      <c r="LZ13" s="2">
        <v>0.75</v>
      </c>
      <c r="MA13" s="2">
        <v>0.8</v>
      </c>
      <c r="MB13" s="2">
        <v>0.8</v>
      </c>
      <c r="MC13" s="2">
        <v>0.8</v>
      </c>
      <c r="MD13" s="2">
        <v>0.82</v>
      </c>
      <c r="ME13" s="2">
        <v>0.2</v>
      </c>
      <c r="MF13" s="2">
        <v>0.33500000000000002</v>
      </c>
      <c r="MG13" s="2">
        <v>0.14000000000000001</v>
      </c>
      <c r="MH13" s="2">
        <v>0.45</v>
      </c>
      <c r="MI13" s="2">
        <v>0.45</v>
      </c>
      <c r="MJ13" s="2">
        <v>0.4</v>
      </c>
      <c r="MK13" s="2">
        <v>0.4</v>
      </c>
      <c r="ML13" s="2">
        <v>1</v>
      </c>
      <c r="MM13" s="2">
        <v>0.85499999999999998</v>
      </c>
      <c r="MN13" s="2">
        <v>2.7000000000000001E-3</v>
      </c>
      <c r="MO13" s="2">
        <v>1</v>
      </c>
      <c r="MP13" s="2">
        <v>0.22</v>
      </c>
      <c r="MQ13" s="2">
        <v>0.23</v>
      </c>
      <c r="MR13" s="2">
        <v>0.22</v>
      </c>
      <c r="MS13" s="2">
        <v>0.4</v>
      </c>
      <c r="MT13" s="2">
        <v>0.8</v>
      </c>
      <c r="MU13" s="2">
        <v>0.75</v>
      </c>
      <c r="MV13" s="2">
        <v>0.85</v>
      </c>
      <c r="MW13" s="2">
        <v>0.75</v>
      </c>
      <c r="MX13" s="2">
        <v>0.6</v>
      </c>
      <c r="MY13" s="2">
        <v>0.82</v>
      </c>
      <c r="MZ13" s="2">
        <v>0.98</v>
      </c>
      <c r="NA13" s="2">
        <v>0.75</v>
      </c>
      <c r="NB13" s="2">
        <v>0.75</v>
      </c>
      <c r="NC13" s="2">
        <v>0.8</v>
      </c>
      <c r="ND13" s="2">
        <v>0.82</v>
      </c>
      <c r="NE13" s="2">
        <v>0.8</v>
      </c>
      <c r="NF13" s="2">
        <v>0.7</v>
      </c>
      <c r="NG13" s="2">
        <v>0.6</v>
      </c>
      <c r="NH13" s="2">
        <v>0.75</v>
      </c>
      <c r="NI13" s="2">
        <v>2.4</v>
      </c>
      <c r="NJ13" s="2">
        <v>0.75</v>
      </c>
      <c r="NK13" s="2">
        <v>0.75</v>
      </c>
      <c r="NL13" s="2">
        <v>0.8</v>
      </c>
      <c r="NM13" s="2">
        <v>0.75</v>
      </c>
      <c r="NN13" s="2">
        <v>0.8</v>
      </c>
      <c r="NO13" s="2">
        <v>0.64</v>
      </c>
      <c r="NP13" s="2">
        <v>0.6</v>
      </c>
      <c r="NQ13" s="2">
        <v>0.75</v>
      </c>
      <c r="NR13" s="2">
        <v>3.2</v>
      </c>
      <c r="NS13" s="2">
        <v>0.75</v>
      </c>
      <c r="NT13" s="2">
        <v>0.75</v>
      </c>
      <c r="NU13" s="2">
        <v>0.8</v>
      </c>
      <c r="NV13" s="2">
        <v>0.6</v>
      </c>
      <c r="NW13" s="2">
        <v>0.8</v>
      </c>
      <c r="NX13" s="2">
        <v>0.1</v>
      </c>
      <c r="OY13" s="2">
        <v>0.13300000000000001</v>
      </c>
      <c r="OZ13" s="2">
        <v>50</v>
      </c>
      <c r="PA13" s="2">
        <v>1.3376999999999999</v>
      </c>
      <c r="PB13" s="2">
        <v>1.3368169646517301E-2</v>
      </c>
      <c r="PC13" s="2">
        <v>6.1813186813186802E-2</v>
      </c>
      <c r="PD13" s="2">
        <v>0.95550000000000002</v>
      </c>
      <c r="PE13" s="2">
        <v>0</v>
      </c>
      <c r="PF13" s="2">
        <v>5</v>
      </c>
      <c r="PG13" s="2">
        <v>2.4500000000000001E-2</v>
      </c>
      <c r="PI13" s="2">
        <v>8</v>
      </c>
      <c r="PJ13" s="2">
        <v>28.95</v>
      </c>
      <c r="PK13" s="2">
        <v>2.8000000000000001E-2</v>
      </c>
      <c r="PL13" s="2">
        <v>3.9</v>
      </c>
      <c r="PM13" s="2">
        <v>22.5</v>
      </c>
      <c r="PN13" s="2">
        <v>22.96</v>
      </c>
      <c r="PO13" s="2">
        <v>38</v>
      </c>
      <c r="PP13" s="2">
        <v>36.4</v>
      </c>
      <c r="PQ13" s="2">
        <v>3.5000000000000001E-3</v>
      </c>
      <c r="PR13" s="2">
        <v>35</v>
      </c>
      <c r="PS13" s="2">
        <v>3.8300000000000001E-2</v>
      </c>
      <c r="PT13" s="2">
        <v>8</v>
      </c>
      <c r="PU13" s="2">
        <v>32</v>
      </c>
      <c r="PV13" s="2">
        <v>3.8300000000000001E-2</v>
      </c>
      <c r="PW13" s="2">
        <v>38</v>
      </c>
      <c r="PX13" s="2">
        <v>30.58</v>
      </c>
      <c r="PY13" s="2">
        <v>13</v>
      </c>
      <c r="PZ13" s="2">
        <v>23.64</v>
      </c>
      <c r="QA13" s="2">
        <v>26.28</v>
      </c>
      <c r="QB13" s="5">
        <v>48</v>
      </c>
      <c r="QC13" s="2">
        <v>130.739</v>
      </c>
      <c r="QD13" s="2">
        <v>79810000</v>
      </c>
      <c r="QE13" s="2">
        <v>8</v>
      </c>
      <c r="QF13" s="2">
        <v>3</v>
      </c>
      <c r="QG13" s="2">
        <v>2</v>
      </c>
      <c r="QH13" s="2">
        <v>2</v>
      </c>
      <c r="QI13" s="2">
        <v>1</v>
      </c>
      <c r="QJ13" s="2">
        <v>0.5</v>
      </c>
      <c r="QK13" s="2">
        <v>0.25</v>
      </c>
      <c r="QL13" s="2">
        <v>0.5</v>
      </c>
      <c r="QM13" s="2">
        <v>1</v>
      </c>
      <c r="QN13" s="2">
        <v>0.5</v>
      </c>
      <c r="QO13" s="2">
        <v>0.2</v>
      </c>
      <c r="QP13" s="2">
        <v>0.2</v>
      </c>
      <c r="QQ13" s="2">
        <v>0.8</v>
      </c>
      <c r="QR13" s="2">
        <v>1.18527760449157E-2</v>
      </c>
      <c r="QS13" s="2">
        <v>9.9812850904553892E-3</v>
      </c>
      <c r="QT13" s="2">
        <v>0.97816593886462799</v>
      </c>
      <c r="QU13" s="2">
        <v>0.19</v>
      </c>
      <c r="QV13" s="2">
        <v>0.13700000000000001</v>
      </c>
      <c r="QW13" s="2">
        <v>0.30299999999999999</v>
      </c>
      <c r="QX13" s="2">
        <v>0</v>
      </c>
      <c r="QY13" s="2">
        <v>0.216</v>
      </c>
      <c r="QZ13" s="2">
        <v>0.1</v>
      </c>
      <c r="RA13" s="2">
        <v>2.5000000000000001E-2</v>
      </c>
      <c r="RB13" s="2">
        <v>0.05</v>
      </c>
      <c r="RC13" s="2">
        <v>0.2</v>
      </c>
      <c r="RD13" s="2">
        <v>0.04</v>
      </c>
      <c r="RE13" s="2">
        <v>0</v>
      </c>
      <c r="RF13" s="2">
        <v>0</v>
      </c>
      <c r="RG13" s="2">
        <v>7.4999999999999997E-2</v>
      </c>
      <c r="RH13" s="2">
        <v>-999</v>
      </c>
      <c r="RI13" s="2">
        <v>-999</v>
      </c>
      <c r="RJ13" s="2">
        <v>-999</v>
      </c>
      <c r="RK13" s="2">
        <v>-999</v>
      </c>
      <c r="RL13" s="2">
        <v>-999</v>
      </c>
      <c r="RM13" s="2">
        <v>-999</v>
      </c>
      <c r="RN13" s="2">
        <v>-999</v>
      </c>
      <c r="RO13" s="2">
        <v>-999</v>
      </c>
      <c r="RP13" s="2">
        <v>-999</v>
      </c>
      <c r="RQ13" s="2">
        <v>-999</v>
      </c>
      <c r="RR13" s="2">
        <v>-999</v>
      </c>
      <c r="RS13" s="2">
        <v>-999</v>
      </c>
      <c r="RT13" s="2">
        <v>-999</v>
      </c>
      <c r="RU13" s="2">
        <v>-999</v>
      </c>
      <c r="RV13" s="2">
        <v>8.6999999999999994E-2</v>
      </c>
      <c r="RW13" s="2">
        <v>8.6999999999999994E-2</v>
      </c>
      <c r="RX13" s="2">
        <v>0</v>
      </c>
      <c r="RZ13" s="2">
        <v>0</v>
      </c>
      <c r="SA13" s="2">
        <v>0</v>
      </c>
      <c r="SB13" s="2">
        <v>0.31</v>
      </c>
      <c r="SC13" s="2">
        <v>0.03</v>
      </c>
      <c r="SD13" s="2">
        <v>0</v>
      </c>
      <c r="SE13" s="2">
        <v>0.31</v>
      </c>
      <c r="SF13" s="2">
        <v>0</v>
      </c>
      <c r="SG13" s="2">
        <v>0</v>
      </c>
      <c r="SH13" s="2">
        <v>0.32</v>
      </c>
      <c r="SI13" s="2">
        <v>0</v>
      </c>
      <c r="SJ13" s="2">
        <v>0</v>
      </c>
      <c r="SK13" s="2">
        <v>0.03</v>
      </c>
      <c r="SL13" s="2">
        <v>0</v>
      </c>
      <c r="SM13" s="2">
        <v>0.67</v>
      </c>
      <c r="SN13" s="2">
        <v>0</v>
      </c>
      <c r="SO13" s="2">
        <v>0.01</v>
      </c>
      <c r="SP13" s="2">
        <v>0.3</v>
      </c>
      <c r="SQ13" s="2">
        <v>0</v>
      </c>
      <c r="SR13" s="2">
        <v>0</v>
      </c>
      <c r="SS13" s="2">
        <v>0</v>
      </c>
      <c r="ST13" s="2">
        <v>0</v>
      </c>
      <c r="SU13" s="2">
        <v>0</v>
      </c>
      <c r="SV13" s="2">
        <v>0</v>
      </c>
      <c r="SW13" s="2">
        <v>0</v>
      </c>
      <c r="SX13" s="2">
        <v>0.02</v>
      </c>
      <c r="SY13" s="2">
        <v>0</v>
      </c>
      <c r="SZ13" s="2">
        <v>0</v>
      </c>
      <c r="TA13" s="2">
        <v>0</v>
      </c>
      <c r="TB13" s="2">
        <v>0.01</v>
      </c>
      <c r="TC13" s="2">
        <v>0.38</v>
      </c>
      <c r="TD13" s="2">
        <v>0</v>
      </c>
      <c r="TE13" s="2">
        <v>0</v>
      </c>
      <c r="TF13" s="2">
        <v>0</v>
      </c>
      <c r="TG13" s="2">
        <v>0</v>
      </c>
      <c r="TH13" s="2">
        <v>0</v>
      </c>
      <c r="TI13" s="2">
        <v>0</v>
      </c>
      <c r="TJ13" s="2">
        <v>0.6</v>
      </c>
      <c r="TK13" s="2">
        <v>0.01</v>
      </c>
      <c r="TL13" s="2">
        <v>0</v>
      </c>
      <c r="TM13" s="2">
        <v>0</v>
      </c>
      <c r="TN13" s="2">
        <v>0</v>
      </c>
      <c r="TO13" s="2">
        <v>0.11</v>
      </c>
      <c r="TP13" s="2">
        <v>0.88</v>
      </c>
      <c r="TQ13" s="2">
        <v>0</v>
      </c>
      <c r="TR13" s="2">
        <v>0</v>
      </c>
      <c r="TS13" s="2">
        <v>0</v>
      </c>
      <c r="TT13" s="2">
        <v>0</v>
      </c>
      <c r="TU13" s="2">
        <v>0</v>
      </c>
      <c r="TV13" s="2">
        <v>0</v>
      </c>
      <c r="TW13" s="2">
        <v>0</v>
      </c>
      <c r="TX13" s="2">
        <v>0.01</v>
      </c>
      <c r="TY13" s="2">
        <v>0</v>
      </c>
      <c r="TZ13" s="2">
        <v>0</v>
      </c>
      <c r="UA13" s="2">
        <v>0</v>
      </c>
      <c r="UB13" s="2">
        <v>0.01</v>
      </c>
      <c r="UC13" s="2">
        <v>0.22900000000000001</v>
      </c>
      <c r="UD13" s="2">
        <v>0</v>
      </c>
      <c r="UE13" s="2">
        <v>0</v>
      </c>
      <c r="UF13" s="2">
        <v>0</v>
      </c>
      <c r="UG13" s="2">
        <v>0</v>
      </c>
      <c r="UH13" s="2">
        <v>0</v>
      </c>
      <c r="UI13" s="2">
        <v>0</v>
      </c>
      <c r="UJ13" s="2">
        <v>0.76</v>
      </c>
      <c r="UK13" s="2">
        <v>1E-3</v>
      </c>
      <c r="UL13" s="2">
        <v>0</v>
      </c>
      <c r="UM13" s="2">
        <v>0</v>
      </c>
      <c r="UN13" s="2">
        <v>0.4</v>
      </c>
      <c r="UO13" s="2">
        <v>0</v>
      </c>
      <c r="UP13" s="2">
        <v>0</v>
      </c>
      <c r="UQ13" s="2">
        <v>0</v>
      </c>
      <c r="UR13" s="2">
        <v>0</v>
      </c>
      <c r="US13" s="2">
        <v>0</v>
      </c>
      <c r="UT13" s="2">
        <v>0</v>
      </c>
      <c r="UU13" s="2">
        <v>0</v>
      </c>
      <c r="UV13" s="2">
        <v>0.2</v>
      </c>
      <c r="UW13" s="2">
        <v>0</v>
      </c>
      <c r="UX13" s="2">
        <v>0</v>
      </c>
      <c r="UY13" s="2">
        <v>1.2E-2</v>
      </c>
      <c r="UZ13" s="2">
        <v>0</v>
      </c>
      <c r="VA13" s="2">
        <v>0</v>
      </c>
      <c r="VB13" s="2">
        <v>0.11899999999999999</v>
      </c>
      <c r="VC13" s="2">
        <v>0.73</v>
      </c>
      <c r="VE13" s="2">
        <v>0</v>
      </c>
      <c r="VF13" s="2">
        <v>0</v>
      </c>
      <c r="VG13" s="2">
        <v>0</v>
      </c>
      <c r="VH13" s="2">
        <v>0</v>
      </c>
      <c r="VJ13" s="2">
        <v>0.15</v>
      </c>
      <c r="VK13" s="2">
        <v>1E-3</v>
      </c>
      <c r="VL13" s="2">
        <v>0</v>
      </c>
      <c r="VM13" s="2">
        <v>0</v>
      </c>
      <c r="VN13" s="2">
        <v>0</v>
      </c>
      <c r="VO13" s="2">
        <v>0.21</v>
      </c>
      <c r="VP13" s="2">
        <v>0.78</v>
      </c>
      <c r="VQ13" s="2">
        <v>0</v>
      </c>
      <c r="VR13" s="2">
        <v>0</v>
      </c>
      <c r="VS13" s="2">
        <v>0</v>
      </c>
      <c r="VT13" s="2">
        <v>0</v>
      </c>
      <c r="VU13" s="2">
        <v>0</v>
      </c>
      <c r="VV13" s="2">
        <v>0</v>
      </c>
      <c r="VX13" s="2">
        <v>0</v>
      </c>
      <c r="VY13" s="2">
        <v>0.01</v>
      </c>
      <c r="VZ13" s="2">
        <v>0</v>
      </c>
      <c r="WA13" s="2">
        <v>0</v>
      </c>
      <c r="WB13" s="2">
        <v>0</v>
      </c>
      <c r="WC13" s="2">
        <v>0.05</v>
      </c>
      <c r="WD13" s="2">
        <v>0.11</v>
      </c>
      <c r="WE13" s="2">
        <v>0</v>
      </c>
      <c r="WF13" s="2">
        <v>0</v>
      </c>
      <c r="WG13" s="2">
        <v>0</v>
      </c>
      <c r="WH13" s="2">
        <v>0</v>
      </c>
      <c r="WI13" s="2">
        <v>0</v>
      </c>
      <c r="WJ13" s="2">
        <v>0</v>
      </c>
      <c r="WK13" s="2">
        <v>0</v>
      </c>
      <c r="WL13" s="2">
        <v>1E-3</v>
      </c>
      <c r="WM13" s="2">
        <v>0.83899999999999997</v>
      </c>
      <c r="WN13" s="2">
        <v>0</v>
      </c>
      <c r="WO13" s="2">
        <v>0</v>
      </c>
      <c r="WP13" s="2">
        <v>0</v>
      </c>
      <c r="WQ13" s="2">
        <v>0.26</v>
      </c>
      <c r="WR13" s="2">
        <v>0</v>
      </c>
      <c r="WS13" s="2">
        <v>0</v>
      </c>
      <c r="WT13" s="2">
        <v>0</v>
      </c>
      <c r="WU13" s="2">
        <v>0</v>
      </c>
      <c r="WV13" s="2">
        <v>0</v>
      </c>
      <c r="WW13" s="2">
        <v>0</v>
      </c>
      <c r="WX13" s="2">
        <v>0</v>
      </c>
      <c r="WY13" s="2">
        <v>0.01</v>
      </c>
      <c r="WZ13" s="2">
        <v>0.73</v>
      </c>
      <c r="XA13" s="2">
        <v>0</v>
      </c>
      <c r="XB13" s="2">
        <v>0</v>
      </c>
      <c r="XC13" s="2">
        <v>0</v>
      </c>
      <c r="XD13" s="2">
        <v>0.44</v>
      </c>
      <c r="XE13" s="2">
        <v>0</v>
      </c>
      <c r="XF13" s="2">
        <v>0</v>
      </c>
      <c r="XG13" s="2">
        <v>0</v>
      </c>
      <c r="XH13" s="2">
        <v>0</v>
      </c>
      <c r="XI13" s="2">
        <v>0</v>
      </c>
      <c r="XJ13" s="2">
        <v>0</v>
      </c>
      <c r="XK13" s="2">
        <v>0.4</v>
      </c>
      <c r="XL13" s="2">
        <v>0.01</v>
      </c>
      <c r="XM13" s="2">
        <v>0.15</v>
      </c>
      <c r="XN13" s="2">
        <v>0</v>
      </c>
      <c r="XO13" s="2">
        <v>0</v>
      </c>
      <c r="XP13" s="2">
        <v>0</v>
      </c>
      <c r="XQ13" s="2">
        <v>0.2</v>
      </c>
      <c r="XR13" s="2">
        <v>0</v>
      </c>
      <c r="XS13" s="2">
        <v>0</v>
      </c>
      <c r="XT13" s="2">
        <v>0</v>
      </c>
      <c r="XU13" s="2">
        <v>0</v>
      </c>
      <c r="XV13" s="2">
        <v>0</v>
      </c>
      <c r="XW13" s="2">
        <v>0.1</v>
      </c>
      <c r="XX13" s="2">
        <v>0.63</v>
      </c>
      <c r="XY13" s="2">
        <v>7.0000000000000007E-2</v>
      </c>
      <c r="XZ13" s="2">
        <v>0</v>
      </c>
      <c r="YA13" s="2">
        <v>0</v>
      </c>
      <c r="YB13" s="2">
        <v>0</v>
      </c>
      <c r="YC13" s="2">
        <v>0.11899999999999999</v>
      </c>
      <c r="YD13" s="2">
        <v>0.73</v>
      </c>
      <c r="YF13" s="2">
        <v>0</v>
      </c>
      <c r="YG13" s="2">
        <v>0</v>
      </c>
      <c r="YH13" s="2">
        <v>0</v>
      </c>
      <c r="YI13" s="2">
        <v>0</v>
      </c>
      <c r="YK13" s="2">
        <v>0.15</v>
      </c>
      <c r="YL13" s="2">
        <v>1E-3</v>
      </c>
      <c r="YM13" s="2">
        <v>0</v>
      </c>
      <c r="YN13" s="2">
        <v>0</v>
      </c>
      <c r="YO13" s="2">
        <v>0</v>
      </c>
      <c r="YP13" s="2">
        <v>0</v>
      </c>
      <c r="YQ13" s="2">
        <v>0.26</v>
      </c>
      <c r="YR13" s="2">
        <v>0</v>
      </c>
      <c r="YS13" s="2">
        <v>0</v>
      </c>
      <c r="YT13" s="2">
        <v>0</v>
      </c>
      <c r="YU13" s="2">
        <v>0</v>
      </c>
      <c r="YV13" s="2">
        <v>0</v>
      </c>
      <c r="YW13" s="2">
        <v>0</v>
      </c>
      <c r="YX13" s="2">
        <v>0</v>
      </c>
      <c r="YY13" s="2">
        <v>0.01</v>
      </c>
      <c r="YZ13" s="2">
        <v>0.73</v>
      </c>
      <c r="ZA13" s="2">
        <v>0</v>
      </c>
      <c r="ZB13" s="2">
        <v>0</v>
      </c>
      <c r="ZC13" s="2">
        <v>0</v>
      </c>
      <c r="ZD13" s="2">
        <v>0.44</v>
      </c>
      <c r="ZE13" s="2">
        <v>0</v>
      </c>
      <c r="ZF13" s="2">
        <v>0</v>
      </c>
      <c r="ZG13" s="2">
        <v>0</v>
      </c>
      <c r="ZH13" s="2">
        <v>0</v>
      </c>
      <c r="ZI13" s="2">
        <v>0</v>
      </c>
      <c r="ZJ13" s="2">
        <v>0</v>
      </c>
      <c r="ZK13" s="2">
        <v>0.4</v>
      </c>
      <c r="ZL13" s="2">
        <v>0.01</v>
      </c>
      <c r="ZM13" s="2">
        <v>0.15</v>
      </c>
      <c r="ZN13" s="2">
        <v>0</v>
      </c>
      <c r="ZO13" s="2">
        <v>0</v>
      </c>
      <c r="ZP13" s="2">
        <v>0.01</v>
      </c>
      <c r="ZQ13" s="2">
        <v>0.45</v>
      </c>
      <c r="ZR13" s="2">
        <v>0</v>
      </c>
      <c r="ZS13" s="2">
        <v>0</v>
      </c>
      <c r="ZT13" s="2">
        <v>0</v>
      </c>
      <c r="ZU13" s="2">
        <v>0</v>
      </c>
      <c r="ZV13" s="2">
        <v>0</v>
      </c>
      <c r="ZW13" s="2">
        <v>0</v>
      </c>
      <c r="ZX13" s="2">
        <v>0.14000000000000001</v>
      </c>
      <c r="ZY13" s="2">
        <v>1.6E-2</v>
      </c>
      <c r="ZZ13" s="2">
        <v>0.38400000000000001</v>
      </c>
      <c r="AAA13" s="2">
        <v>0.1</v>
      </c>
      <c r="AAB13" s="2">
        <v>0</v>
      </c>
      <c r="AAC13" s="2">
        <v>0.01</v>
      </c>
      <c r="AAD13" s="2">
        <v>0.38</v>
      </c>
      <c r="AAE13" s="2">
        <v>0</v>
      </c>
      <c r="AAF13" s="2">
        <v>0</v>
      </c>
      <c r="AAG13" s="2">
        <v>0</v>
      </c>
      <c r="AAH13" s="2">
        <v>0</v>
      </c>
      <c r="AAI13" s="2">
        <v>0</v>
      </c>
      <c r="AAJ13" s="2">
        <v>0</v>
      </c>
      <c r="AAK13" s="2">
        <v>6.9000000000000006E-2</v>
      </c>
      <c r="AAL13" s="2">
        <v>1E-3</v>
      </c>
      <c r="AAM13" s="2">
        <v>0.44</v>
      </c>
      <c r="AAN13" s="2">
        <v>0</v>
      </c>
      <c r="AAO13" s="2">
        <v>0</v>
      </c>
      <c r="AAP13" s="2">
        <v>0</v>
      </c>
      <c r="AAQ13" s="2">
        <v>0.12</v>
      </c>
      <c r="AAR13" s="2">
        <v>0</v>
      </c>
      <c r="AAS13" s="2">
        <v>0</v>
      </c>
      <c r="AAT13" s="2">
        <v>0</v>
      </c>
      <c r="AAU13" s="2">
        <v>0</v>
      </c>
      <c r="AAV13" s="2">
        <v>0</v>
      </c>
      <c r="AAW13" s="2">
        <v>0</v>
      </c>
      <c r="AAX13" s="2">
        <v>0.18</v>
      </c>
      <c r="AAY13" s="2">
        <v>0.01</v>
      </c>
      <c r="AAZ13" s="2">
        <v>0.69</v>
      </c>
      <c r="ABA13" s="2">
        <v>0</v>
      </c>
      <c r="ABB13" s="2">
        <v>0</v>
      </c>
      <c r="ABC13" s="2">
        <v>0.01</v>
      </c>
      <c r="ABD13" s="2">
        <v>0.45</v>
      </c>
      <c r="ABE13" s="2">
        <v>0</v>
      </c>
      <c r="ABF13" s="2">
        <v>0</v>
      </c>
      <c r="ABG13" s="2">
        <v>0</v>
      </c>
      <c r="ABH13" s="2">
        <v>0</v>
      </c>
      <c r="ABI13" s="2">
        <v>0</v>
      </c>
      <c r="ABJ13" s="2">
        <v>0</v>
      </c>
      <c r="ABK13" s="2">
        <v>0.14000000000000001</v>
      </c>
      <c r="ABL13" s="2">
        <v>1.6E-2</v>
      </c>
      <c r="ABM13" s="2">
        <v>0.38400000000000001</v>
      </c>
      <c r="ABN13" s="2">
        <v>0.1</v>
      </c>
      <c r="ABO13" s="2">
        <v>0</v>
      </c>
      <c r="ABP13" s="2">
        <v>0.01</v>
      </c>
      <c r="ABQ13" s="2">
        <v>0.38</v>
      </c>
      <c r="ABR13" s="2">
        <v>0</v>
      </c>
      <c r="ABS13" s="2">
        <v>0</v>
      </c>
      <c r="ABT13" s="2">
        <v>0</v>
      </c>
      <c r="ABU13" s="2">
        <v>0</v>
      </c>
      <c r="ABV13" s="2">
        <v>0</v>
      </c>
      <c r="ABW13" s="2">
        <v>0</v>
      </c>
      <c r="ABX13" s="2">
        <v>6.9000000000000006E-2</v>
      </c>
      <c r="ABY13" s="2">
        <v>1E-3</v>
      </c>
      <c r="ABZ13" s="2">
        <v>0.44</v>
      </c>
      <c r="ACA13" s="2">
        <v>0</v>
      </c>
      <c r="ACB13" s="2">
        <v>0</v>
      </c>
      <c r="ACC13" s="2">
        <v>0</v>
      </c>
      <c r="ACD13" s="2">
        <v>0.12</v>
      </c>
      <c r="ACE13" s="2">
        <v>0</v>
      </c>
      <c r="ACF13" s="2">
        <v>0</v>
      </c>
      <c r="ACG13" s="2">
        <v>0</v>
      </c>
      <c r="ACH13" s="2">
        <v>0</v>
      </c>
      <c r="ACI13" s="2">
        <v>0</v>
      </c>
      <c r="ACJ13" s="2">
        <v>0</v>
      </c>
      <c r="ACK13" s="2">
        <v>0.18</v>
      </c>
      <c r="ACL13" s="2">
        <v>0.01</v>
      </c>
      <c r="ACM13" s="2">
        <v>0.69</v>
      </c>
      <c r="ACU13" s="2">
        <v>0</v>
      </c>
      <c r="ACV13" s="2">
        <v>0</v>
      </c>
      <c r="ACW13" s="2">
        <v>0.8</v>
      </c>
      <c r="ACX13" s="2">
        <v>0</v>
      </c>
      <c r="ACY13" s="2">
        <v>0</v>
      </c>
      <c r="ACZ13" s="2">
        <v>0</v>
      </c>
      <c r="ADA13" s="2">
        <v>0</v>
      </c>
      <c r="ADB13" s="2">
        <v>0.19</v>
      </c>
      <c r="ADC13" s="2">
        <v>0.01</v>
      </c>
      <c r="ADD13" s="2">
        <v>0</v>
      </c>
      <c r="ADE13" s="2">
        <v>0</v>
      </c>
      <c r="ADF13" s="2">
        <v>1</v>
      </c>
      <c r="ADG13" s="2">
        <v>0</v>
      </c>
      <c r="ADH13" s="2">
        <v>0</v>
      </c>
      <c r="ADI13" s="2">
        <v>0</v>
      </c>
      <c r="ADJ13" s="2">
        <v>0</v>
      </c>
      <c r="ADK13" s="2">
        <v>0</v>
      </c>
      <c r="ADL13" s="2">
        <v>0</v>
      </c>
      <c r="ADM13" s="2">
        <v>0</v>
      </c>
      <c r="ADN13" s="2">
        <v>0</v>
      </c>
      <c r="ADO13" s="2">
        <v>0.28000000000000003</v>
      </c>
      <c r="ADP13" s="2">
        <v>0</v>
      </c>
      <c r="ADQ13" s="2">
        <v>0</v>
      </c>
      <c r="ADR13" s="2">
        <v>0</v>
      </c>
      <c r="ADS13" s="2">
        <v>0.1</v>
      </c>
      <c r="ADT13" s="2">
        <v>0.06</v>
      </c>
      <c r="ADU13" s="2">
        <v>0.56000000000000005</v>
      </c>
      <c r="ADV13" s="2">
        <v>0</v>
      </c>
      <c r="ADW13" s="2">
        <v>0</v>
      </c>
      <c r="ADX13" s="2">
        <v>1</v>
      </c>
      <c r="ADY13" s="2">
        <v>0.1</v>
      </c>
      <c r="ADZ13" s="2">
        <v>0.9</v>
      </c>
      <c r="AEA13" s="2">
        <v>0</v>
      </c>
      <c r="AEB13" s="2">
        <v>1</v>
      </c>
      <c r="AEC13" s="2">
        <v>0</v>
      </c>
      <c r="AED13" s="2">
        <v>0</v>
      </c>
      <c r="AEE13" s="2">
        <v>0</v>
      </c>
      <c r="AEF13" s="2">
        <v>0</v>
      </c>
      <c r="AEG13" s="2">
        <v>0</v>
      </c>
      <c r="AEH13" s="2">
        <v>1</v>
      </c>
      <c r="AEI13" s="2">
        <v>0</v>
      </c>
      <c r="AEJ13" s="2">
        <v>0</v>
      </c>
      <c r="AEK13" s="2">
        <v>0</v>
      </c>
      <c r="AEL13" s="2">
        <v>1</v>
      </c>
      <c r="AEM13" s="2">
        <v>0</v>
      </c>
      <c r="AEN13" s="2">
        <v>0</v>
      </c>
      <c r="AEO13" s="2">
        <v>0</v>
      </c>
      <c r="AEP13" s="2">
        <v>0</v>
      </c>
      <c r="AEQ13" s="2">
        <v>1</v>
      </c>
      <c r="AER13" s="2">
        <v>0</v>
      </c>
      <c r="AES13" s="2">
        <v>0</v>
      </c>
      <c r="AET13" s="2">
        <v>0</v>
      </c>
      <c r="AEU13" s="2">
        <v>0</v>
      </c>
      <c r="AEV13" s="2">
        <v>0</v>
      </c>
      <c r="AEW13" s="2">
        <v>0.01</v>
      </c>
      <c r="AEX13" s="2">
        <v>0</v>
      </c>
      <c r="AEY13" s="2">
        <v>0</v>
      </c>
      <c r="AEZ13" s="2">
        <v>0</v>
      </c>
      <c r="AFA13" s="2">
        <v>0</v>
      </c>
      <c r="AFB13" s="2">
        <v>0</v>
      </c>
      <c r="AFC13" s="2">
        <v>0</v>
      </c>
      <c r="AFD13" s="2">
        <v>0</v>
      </c>
      <c r="AFE13" s="2">
        <v>0.3</v>
      </c>
      <c r="AFF13" s="2">
        <v>0</v>
      </c>
      <c r="AFG13" s="2">
        <v>0.7</v>
      </c>
      <c r="AFH13" s="2">
        <v>0</v>
      </c>
      <c r="AFI13" s="2">
        <v>0</v>
      </c>
      <c r="AFJ13" s="2">
        <v>0</v>
      </c>
      <c r="AFK13" s="2">
        <v>0</v>
      </c>
      <c r="AFL13" s="2">
        <v>0</v>
      </c>
      <c r="AFM13" s="2">
        <v>0</v>
      </c>
      <c r="AGB13" s="2">
        <v>0.37380000000000002</v>
      </c>
      <c r="AGC13" s="2">
        <v>0.26700000000000002</v>
      </c>
      <c r="AGD13" s="2">
        <v>60</v>
      </c>
      <c r="AGE13" s="2">
        <v>3.5</v>
      </c>
      <c r="AGF13" s="2">
        <v>3.8</v>
      </c>
      <c r="AGG13" s="2">
        <v>2.6753999999999998</v>
      </c>
      <c r="AGH13" s="2">
        <v>2.474745</v>
      </c>
      <c r="AGI13" s="2">
        <v>3.746</v>
      </c>
      <c r="AGJ13" s="2">
        <v>3.5</v>
      </c>
      <c r="AGK13" s="2">
        <v>0.28999999999999998</v>
      </c>
      <c r="AGL13" s="2">
        <v>0.10199999999999999</v>
      </c>
      <c r="AGM13" s="2">
        <v>0.1</v>
      </c>
      <c r="AGN13" s="2">
        <v>0.28999999999999998</v>
      </c>
      <c r="AGO13" s="2">
        <v>0.224</v>
      </c>
      <c r="AGP13" s="2">
        <v>0.21</v>
      </c>
      <c r="AGQ13" s="2">
        <v>2.5</v>
      </c>
      <c r="AGR13" s="2">
        <v>3</v>
      </c>
      <c r="AGS13" s="2">
        <v>1.911</v>
      </c>
      <c r="AGT13" s="2">
        <v>1.7676750000000001</v>
      </c>
      <c r="AGU13" s="2">
        <v>0.26800000000000002</v>
      </c>
      <c r="AGV13" s="2">
        <v>2.5</v>
      </c>
      <c r="AGW13" s="2">
        <v>3.5</v>
      </c>
      <c r="AGX13" s="2">
        <v>3.8219999999999898</v>
      </c>
      <c r="AGY13" s="2">
        <v>2.6753999999999998</v>
      </c>
      <c r="AGZ13" s="2">
        <v>2.474745</v>
      </c>
      <c r="AHA13" s="2">
        <v>3.746</v>
      </c>
      <c r="AHB13" s="2">
        <v>3.5</v>
      </c>
      <c r="AHC13" s="2">
        <v>11</v>
      </c>
      <c r="AHD13" s="2">
        <v>13</v>
      </c>
      <c r="AHE13" s="2">
        <v>16</v>
      </c>
      <c r="AHF13" s="2">
        <v>9.25</v>
      </c>
      <c r="AHG13" s="2">
        <v>14</v>
      </c>
      <c r="AHH13" s="2">
        <v>7.0000000000000007E-2</v>
      </c>
      <c r="AHI13" s="2">
        <v>1.02</v>
      </c>
      <c r="AHJ13" s="2">
        <v>0.1</v>
      </c>
      <c r="AHK13" s="2">
        <v>0</v>
      </c>
      <c r="AHL13" s="2">
        <v>0</v>
      </c>
      <c r="AHM13" s="2">
        <v>0</v>
      </c>
      <c r="AHN13" s="2">
        <v>0</v>
      </c>
      <c r="AHO13" s="2">
        <v>0</v>
      </c>
      <c r="AHP13" s="2">
        <v>0</v>
      </c>
      <c r="AHQ13" s="2">
        <v>85.14</v>
      </c>
      <c r="AHR13" s="2">
        <v>10.8</v>
      </c>
      <c r="AHS13" s="2">
        <v>19.7</v>
      </c>
      <c r="AHT13" s="2">
        <v>2.2360000000000002</v>
      </c>
      <c r="AHU13" s="2">
        <v>0.4</v>
      </c>
      <c r="AHV13" s="2">
        <v>0.6</v>
      </c>
      <c r="AHW13" s="2">
        <v>0.9</v>
      </c>
      <c r="AHX13" s="2">
        <v>0.45</v>
      </c>
      <c r="AHY13" s="2">
        <v>0.3</v>
      </c>
      <c r="AHZ13" s="2">
        <v>1316</v>
      </c>
      <c r="AIA13" s="2">
        <v>105</v>
      </c>
      <c r="AIB13" s="2">
        <v>11520</v>
      </c>
      <c r="AIC13" s="2">
        <v>150</v>
      </c>
      <c r="AID13" s="2">
        <v>0</v>
      </c>
      <c r="AIE13" s="2">
        <v>0</v>
      </c>
      <c r="AIF13" s="2">
        <v>0</v>
      </c>
      <c r="AIG13" s="2">
        <v>0</v>
      </c>
      <c r="AIH13" s="2">
        <v>0</v>
      </c>
      <c r="AII13" s="2">
        <v>0</v>
      </c>
      <c r="AIJ13" s="2">
        <v>0</v>
      </c>
      <c r="AIK13" s="2">
        <v>0</v>
      </c>
      <c r="AIL13" s="2">
        <v>0</v>
      </c>
      <c r="AIM13" s="2">
        <v>0</v>
      </c>
      <c r="AIN13" s="2">
        <v>0</v>
      </c>
      <c r="AIO13" s="2">
        <v>0</v>
      </c>
      <c r="AIP13" s="2">
        <v>-999</v>
      </c>
      <c r="AIQ13" s="2">
        <v>-999</v>
      </c>
      <c r="AIR13" s="2">
        <v>-999</v>
      </c>
      <c r="AIS13" s="2">
        <v>-999</v>
      </c>
      <c r="AIT13" s="2">
        <v>-999</v>
      </c>
      <c r="AIU13" s="2">
        <v>-999</v>
      </c>
      <c r="AIV13" s="2">
        <v>-999</v>
      </c>
      <c r="AIW13" s="2">
        <v>-999</v>
      </c>
      <c r="AIX13" s="2">
        <v>-999</v>
      </c>
      <c r="AIY13" s="2">
        <v>-999</v>
      </c>
      <c r="AIZ13" s="2">
        <v>-999</v>
      </c>
      <c r="AJA13" s="2">
        <v>-999</v>
      </c>
      <c r="AJB13" s="2">
        <v>1200</v>
      </c>
      <c r="AJC13" s="2">
        <v>800</v>
      </c>
      <c r="AJD13" s="2">
        <v>800</v>
      </c>
      <c r="AJE13" s="2">
        <v>4335</v>
      </c>
      <c r="AJF13" s="2">
        <v>4525</v>
      </c>
      <c r="AJG13" s="2">
        <v>6625</v>
      </c>
      <c r="AJH13" s="2">
        <v>4074</v>
      </c>
      <c r="AJI13" s="2">
        <v>2845</v>
      </c>
      <c r="AJJ13" s="2">
        <v>1131.5</v>
      </c>
      <c r="AJK13" s="2">
        <v>3076</v>
      </c>
      <c r="AJL13" s="2">
        <v>3083</v>
      </c>
      <c r="AJM13" s="2">
        <v>7289</v>
      </c>
      <c r="AJN13" s="2">
        <v>3998</v>
      </c>
      <c r="AJO13" s="2">
        <v>3998</v>
      </c>
      <c r="AJP13" s="2">
        <v>850</v>
      </c>
      <c r="AJQ13" s="2">
        <v>3678</v>
      </c>
      <c r="AJR13" s="2">
        <v>3880</v>
      </c>
      <c r="AJS13" s="2">
        <v>167.02500000000001</v>
      </c>
      <c r="AJT13" s="2">
        <v>74.266037735848997</v>
      </c>
      <c r="AJU13" s="8">
        <v>3.358E-5</v>
      </c>
      <c r="AJV13" s="2">
        <v>1.0099</v>
      </c>
      <c r="AJW13" s="8">
        <v>5.8769999999999998E-6</v>
      </c>
      <c r="AJX13" s="2">
        <v>2.6086956521739101E-4</v>
      </c>
      <c r="AJY13" s="2">
        <v>6.3739130434782503</v>
      </c>
      <c r="AJZ13" s="8">
        <v>5.2173913043478202E-5</v>
      </c>
      <c r="AKA13" s="2">
        <v>1</v>
      </c>
      <c r="AKB13" s="2">
        <v>1</v>
      </c>
      <c r="AKC13" s="2">
        <v>1</v>
      </c>
      <c r="AKD13" s="2">
        <v>1</v>
      </c>
      <c r="AKE13" s="2">
        <v>1</v>
      </c>
      <c r="AKF13" s="2">
        <v>1</v>
      </c>
      <c r="AKG13" s="2">
        <v>1</v>
      </c>
      <c r="AKH13" s="2">
        <v>0.1</v>
      </c>
      <c r="AKI13" s="2">
        <v>1</v>
      </c>
      <c r="AKJ13" s="2">
        <v>1</v>
      </c>
      <c r="AKK13" s="2">
        <v>1</v>
      </c>
      <c r="AKL13" s="2">
        <v>1</v>
      </c>
      <c r="AKM13" s="2">
        <v>1</v>
      </c>
      <c r="AKN13" s="2">
        <v>0.1</v>
      </c>
      <c r="AKO13" s="2">
        <v>1</v>
      </c>
      <c r="AKP13" s="2">
        <v>1</v>
      </c>
      <c r="AKQ13" s="2">
        <v>1</v>
      </c>
      <c r="AKR13" s="2">
        <v>1</v>
      </c>
      <c r="AKS13" s="2">
        <v>1</v>
      </c>
      <c r="AKT13" s="2">
        <v>1</v>
      </c>
      <c r="AKU13" s="2">
        <v>1</v>
      </c>
      <c r="AKV13" s="2">
        <v>1</v>
      </c>
      <c r="AKW13" s="2">
        <v>1</v>
      </c>
      <c r="AKX13" s="2">
        <v>1</v>
      </c>
      <c r="AKY13" s="2">
        <v>1</v>
      </c>
      <c r="AKZ13" s="2">
        <v>1</v>
      </c>
      <c r="ALA13" s="2">
        <v>1</v>
      </c>
      <c r="ALB13" s="2">
        <v>1</v>
      </c>
      <c r="ALC13" s="2">
        <v>1</v>
      </c>
      <c r="ALD13" s="2">
        <v>1</v>
      </c>
      <c r="ALE13" s="2">
        <v>1</v>
      </c>
      <c r="ALF13" s="2">
        <v>1</v>
      </c>
      <c r="ALG13" s="2">
        <v>1</v>
      </c>
      <c r="ALH13" s="2">
        <v>1</v>
      </c>
      <c r="ALI13" s="2">
        <v>1</v>
      </c>
      <c r="ALJ13" s="2">
        <v>1</v>
      </c>
      <c r="ALK13" s="2">
        <v>1</v>
      </c>
      <c r="ALL13" s="2">
        <v>1</v>
      </c>
      <c r="ALM13" s="2">
        <v>1</v>
      </c>
      <c r="ALN13" s="2">
        <v>1</v>
      </c>
      <c r="ALO13" s="2">
        <v>1</v>
      </c>
      <c r="ALP13" s="2">
        <v>1</v>
      </c>
      <c r="ALQ13" s="2">
        <v>300</v>
      </c>
      <c r="ALR13" s="2">
        <v>150</v>
      </c>
      <c r="ALS13" s="2">
        <v>150</v>
      </c>
      <c r="ALT13" s="2">
        <v>151.72999999999999</v>
      </c>
      <c r="ALU13" s="2">
        <v>131.62</v>
      </c>
      <c r="ALV13" s="2">
        <v>62.34</v>
      </c>
      <c r="ALW13" s="2">
        <v>42.49</v>
      </c>
      <c r="ALX13" s="2">
        <v>28.89</v>
      </c>
      <c r="ALY13" s="2">
        <v>13.77</v>
      </c>
      <c r="ALZ13" s="2">
        <v>143.22</v>
      </c>
      <c r="AMA13" s="2">
        <v>43.78</v>
      </c>
      <c r="AMB13" s="2">
        <v>113.41</v>
      </c>
      <c r="AMC13" s="2">
        <v>71.94</v>
      </c>
      <c r="AMD13" s="2">
        <v>71.94</v>
      </c>
      <c r="AME13" s="2">
        <v>24.82</v>
      </c>
      <c r="AMF13" s="2">
        <v>24.26</v>
      </c>
      <c r="AMG13" s="2">
        <v>71.37</v>
      </c>
      <c r="AMH13" s="2">
        <v>0</v>
      </c>
      <c r="AMI13" s="2">
        <v>0</v>
      </c>
      <c r="AMJ13" s="2">
        <v>0</v>
      </c>
      <c r="AMK13" s="2">
        <v>0</v>
      </c>
      <c r="AML13" s="9">
        <v>9.1987857602796421E-4</v>
      </c>
      <c r="AMM13" s="2">
        <v>0.34090700027596355</v>
      </c>
      <c r="AMN13" s="2">
        <v>0</v>
      </c>
      <c r="AMO13" s="2">
        <v>0</v>
      </c>
      <c r="AMP13" s="2">
        <v>0</v>
      </c>
      <c r="AMQ13" s="2">
        <v>0</v>
      </c>
      <c r="AMR13" s="2">
        <v>0.45756293502590989</v>
      </c>
      <c r="AMS13" s="2">
        <v>0</v>
      </c>
      <c r="AMT13" s="2">
        <v>0</v>
      </c>
      <c r="AMU13" s="2">
        <v>0.17439364670530155</v>
      </c>
      <c r="AMV13" s="2">
        <v>0</v>
      </c>
      <c r="AMW13" s="2">
        <v>0</v>
      </c>
      <c r="AMX13" s="2">
        <v>2.6216539416796983E-2</v>
      </c>
      <c r="AMY13" s="2">
        <v>1.3034433554879601</v>
      </c>
      <c r="AMZ13" s="2">
        <v>0</v>
      </c>
      <c r="ANA13" s="2">
        <v>1.9670000000000001</v>
      </c>
      <c r="ANB13" s="2">
        <v>0</v>
      </c>
      <c r="ANC13" s="2">
        <v>0</v>
      </c>
      <c r="AND13" s="2">
        <v>1.3149999999999999</v>
      </c>
      <c r="ANE13" s="2">
        <v>0</v>
      </c>
      <c r="ANF13" s="2">
        <v>8.8768668407310704E-3</v>
      </c>
      <c r="ANG13" s="2">
        <v>1</v>
      </c>
      <c r="ANH13" s="2">
        <v>1.0869565217391299</v>
      </c>
      <c r="ANI13" s="2">
        <v>0</v>
      </c>
      <c r="ANJ13" s="2">
        <v>1.00230179028132</v>
      </c>
      <c r="ANK13" s="2">
        <v>7.8260869565217606E-3</v>
      </c>
      <c r="ANL13" s="2">
        <v>7.3657289002557703E-3</v>
      </c>
      <c r="ANM13" s="2">
        <v>4.6035805626598499E-4</v>
      </c>
      <c r="ANN13" s="2">
        <v>5.0639386189258399E-3</v>
      </c>
      <c r="ANO13" s="2">
        <v>0</v>
      </c>
      <c r="ANP13" s="2">
        <v>3.7634408602150601E-2</v>
      </c>
      <c r="ANQ13" s="2">
        <v>3.5420619860847602E-2</v>
      </c>
      <c r="ANR13" s="2">
        <v>2.2137887413029699E-3</v>
      </c>
      <c r="ANS13" s="2">
        <v>0</v>
      </c>
      <c r="ANT13" s="2">
        <v>0</v>
      </c>
      <c r="ANU13" s="2">
        <v>4.0540540540540397E-2</v>
      </c>
      <c r="ANV13" s="2">
        <v>3.8155802861685101E-2</v>
      </c>
      <c r="ANW13" s="2">
        <v>2.3847376788553201E-3</v>
      </c>
      <c r="ANX13" s="2">
        <v>0</v>
      </c>
      <c r="ANY13" s="2">
        <v>0</v>
      </c>
      <c r="ANZ13" s="2">
        <v>1</v>
      </c>
      <c r="AOA13" s="2">
        <v>1</v>
      </c>
      <c r="AOB13" s="2">
        <v>1</v>
      </c>
      <c r="AOC13" s="2">
        <v>2.76E-2</v>
      </c>
      <c r="AOD13" s="2">
        <v>0.94899999999999995</v>
      </c>
      <c r="AOE13" s="2">
        <v>0.2969</v>
      </c>
      <c r="AOF13" s="2">
        <v>0.47910000000000003</v>
      </c>
      <c r="AOG13" s="2">
        <v>0.04</v>
      </c>
      <c r="AOH13" s="2">
        <v>8.5949999999999999E-2</v>
      </c>
      <c r="AOI13" s="2">
        <v>1.405E-2</v>
      </c>
      <c r="AOJ13" s="2">
        <v>1</v>
      </c>
      <c r="AOK13" s="2">
        <v>1</v>
      </c>
      <c r="AOL13" s="2">
        <v>1</v>
      </c>
      <c r="AOM13" s="2">
        <v>0</v>
      </c>
      <c r="AON13" s="2">
        <v>1</v>
      </c>
      <c r="AOO13" s="2">
        <v>0</v>
      </c>
      <c r="AOP13" s="2">
        <v>0</v>
      </c>
      <c r="AOQ13" s="2">
        <v>0</v>
      </c>
      <c r="AOR13" s="2">
        <v>0</v>
      </c>
      <c r="AOS13" s="2">
        <v>1</v>
      </c>
      <c r="AOT13" s="2">
        <v>1</v>
      </c>
      <c r="AOU13" s="2">
        <v>0</v>
      </c>
      <c r="AOV13" s="2">
        <v>1</v>
      </c>
      <c r="AOW13" s="2">
        <v>0</v>
      </c>
      <c r="AOX13" s="2">
        <v>1</v>
      </c>
      <c r="AOY13" s="2">
        <v>0</v>
      </c>
      <c r="AOZ13" s="2">
        <v>1</v>
      </c>
      <c r="APA13" s="2">
        <v>1</v>
      </c>
      <c r="APB13" s="2">
        <v>1</v>
      </c>
      <c r="APC13" s="2">
        <v>1</v>
      </c>
      <c r="APD13" s="2">
        <v>1</v>
      </c>
      <c r="APE13" s="2">
        <v>1.1499999999999999</v>
      </c>
      <c r="APF13" s="2">
        <v>0</v>
      </c>
      <c r="APG13" s="2">
        <v>1</v>
      </c>
      <c r="APH13" s="2">
        <v>0</v>
      </c>
      <c r="API13" s="2">
        <v>1</v>
      </c>
      <c r="APJ13" s="2">
        <v>1</v>
      </c>
      <c r="APK13" s="2">
        <v>1</v>
      </c>
      <c r="APL13" s="2">
        <v>1</v>
      </c>
      <c r="APM13" s="2">
        <v>1</v>
      </c>
      <c r="APN13" s="2">
        <v>1</v>
      </c>
      <c r="APO13" s="2">
        <v>1</v>
      </c>
      <c r="APP13" s="2">
        <v>1</v>
      </c>
      <c r="APQ13" s="2">
        <v>0.5</v>
      </c>
      <c r="APR13" s="2">
        <v>0</v>
      </c>
      <c r="APS13" s="2">
        <v>1</v>
      </c>
      <c r="APT13" s="2">
        <v>0.25</v>
      </c>
      <c r="APU13" s="2">
        <v>0.25</v>
      </c>
      <c r="APV13" s="2">
        <v>0.25</v>
      </c>
      <c r="APW13" s="2">
        <v>0.25</v>
      </c>
      <c r="APX13" s="2">
        <v>0</v>
      </c>
      <c r="APY13" s="2">
        <v>0.5</v>
      </c>
      <c r="APZ13" s="2">
        <v>0</v>
      </c>
      <c r="AQA13" s="2">
        <v>0</v>
      </c>
      <c r="AQB13" s="2">
        <v>0</v>
      </c>
      <c r="AQC13" s="2">
        <v>0</v>
      </c>
      <c r="AQD13" s="2">
        <v>198.95</v>
      </c>
      <c r="AQE13" s="2">
        <v>0.4</v>
      </c>
      <c r="AQF13" s="2">
        <v>0</v>
      </c>
      <c r="AQG13" s="2">
        <v>0</v>
      </c>
      <c r="AQH13" s="2">
        <v>0</v>
      </c>
      <c r="AQI13" s="2">
        <v>3</v>
      </c>
      <c r="AQJ13" s="2">
        <v>0</v>
      </c>
      <c r="AQK13" s="2">
        <v>25</v>
      </c>
      <c r="AQL13" s="2">
        <v>0</v>
      </c>
      <c r="AQM13" s="2">
        <v>-999</v>
      </c>
      <c r="AQN13" s="2">
        <v>-999</v>
      </c>
      <c r="AQO13" s="2">
        <v>-999</v>
      </c>
      <c r="AQP13" s="2">
        <v>-999</v>
      </c>
      <c r="AQQ13" s="2">
        <v>-999</v>
      </c>
      <c r="AQR13" s="2">
        <v>-999</v>
      </c>
      <c r="AQS13" s="2">
        <v>-999</v>
      </c>
      <c r="AQT13" s="2">
        <v>-999</v>
      </c>
      <c r="AQU13" s="2">
        <v>-999</v>
      </c>
      <c r="AQV13" s="2">
        <v>-999</v>
      </c>
      <c r="AQW13" s="2">
        <v>-999</v>
      </c>
      <c r="AQX13" s="2">
        <v>-999</v>
      </c>
      <c r="AQY13" s="2">
        <v>-999</v>
      </c>
      <c r="AQZ13" s="2">
        <v>0</v>
      </c>
      <c r="ARA13" s="2">
        <v>-999</v>
      </c>
      <c r="ARB13" s="2">
        <v>-999</v>
      </c>
      <c r="ARC13" s="2">
        <v>-999</v>
      </c>
      <c r="ARD13" s="2">
        <v>-999</v>
      </c>
      <c r="ARE13" s="2">
        <v>-999</v>
      </c>
      <c r="ARF13" s="2">
        <v>-999</v>
      </c>
      <c r="ARG13" s="2">
        <v>-999</v>
      </c>
      <c r="ARH13" s="2">
        <v>-999</v>
      </c>
      <c r="ARI13" s="2">
        <v>-999</v>
      </c>
      <c r="ARJ13" s="2">
        <v>-999</v>
      </c>
      <c r="ARK13" s="2">
        <v>-999</v>
      </c>
      <c r="ARL13" s="2">
        <v>-999</v>
      </c>
      <c r="ARM13" s="2">
        <v>-999</v>
      </c>
      <c r="ARN13" s="2">
        <v>-999</v>
      </c>
      <c r="ARO13" s="2">
        <v>-999</v>
      </c>
      <c r="ARP13" s="2">
        <v>-999</v>
      </c>
      <c r="ARQ13" s="2">
        <v>-999</v>
      </c>
      <c r="ARR13" s="2">
        <v>-999</v>
      </c>
      <c r="ARS13" s="2">
        <v>-999</v>
      </c>
      <c r="ART13" s="2">
        <v>-999</v>
      </c>
      <c r="ARU13" s="2">
        <v>-999</v>
      </c>
      <c r="ARV13" s="2">
        <v>-999</v>
      </c>
      <c r="ARW13" s="2">
        <v>-999</v>
      </c>
      <c r="ARX13" s="2">
        <v>-999</v>
      </c>
      <c r="ARY13" s="2">
        <v>-999</v>
      </c>
      <c r="ARZ13" s="2">
        <v>-999</v>
      </c>
      <c r="ASA13" s="2">
        <v>-999</v>
      </c>
      <c r="ASB13" s="2">
        <v>-999</v>
      </c>
      <c r="ASC13" s="2">
        <v>-999</v>
      </c>
      <c r="ASD13" s="2">
        <v>-999</v>
      </c>
      <c r="ASE13" s="2">
        <v>-999</v>
      </c>
      <c r="ASF13" s="2">
        <v>-999</v>
      </c>
      <c r="ASG13" s="2">
        <v>-999</v>
      </c>
      <c r="ASH13" s="2">
        <v>-999</v>
      </c>
      <c r="ASI13" s="2">
        <v>-999</v>
      </c>
      <c r="ASJ13" s="2">
        <v>-999</v>
      </c>
      <c r="ASK13" s="2">
        <v>-999</v>
      </c>
      <c r="ASL13" s="2">
        <v>-999</v>
      </c>
      <c r="ASM13" s="2">
        <v>-999</v>
      </c>
      <c r="ASN13" s="2">
        <v>-999</v>
      </c>
      <c r="ASO13" s="2">
        <v>-999</v>
      </c>
      <c r="ASP13" s="2">
        <v>4.51</v>
      </c>
      <c r="ASQ13" s="2">
        <v>133</v>
      </c>
      <c r="ASR13" s="2">
        <v>11.49</v>
      </c>
      <c r="ASS13" s="2">
        <v>78.8</v>
      </c>
      <c r="AST13" s="2">
        <v>6.11</v>
      </c>
      <c r="ASU13" s="2">
        <v>2.3199999999999998</v>
      </c>
      <c r="ASV13" s="2">
        <v>1.21</v>
      </c>
      <c r="ASW13" s="2">
        <v>26</v>
      </c>
      <c r="ASX13" s="2">
        <v>2.81</v>
      </c>
      <c r="ASY13" s="2">
        <v>3.22</v>
      </c>
      <c r="ASZ13" s="2">
        <v>183.3</v>
      </c>
      <c r="ATA13" s="2">
        <v>30</v>
      </c>
      <c r="ATB13" s="2">
        <v>120</v>
      </c>
      <c r="ATC13" s="2">
        <v>40</v>
      </c>
      <c r="ATD13" s="2">
        <v>0.3</v>
      </c>
      <c r="ATE13" s="2">
        <v>1.55</v>
      </c>
      <c r="ATF13" s="2">
        <v>0</v>
      </c>
      <c r="ATG13" s="2">
        <v>1.8140000000000001</v>
      </c>
      <c r="ATI13" s="2">
        <v>250</v>
      </c>
      <c r="ATJ13" s="2">
        <v>1</v>
      </c>
      <c r="ATK13" s="2">
        <v>2</v>
      </c>
      <c r="ATL13" s="2">
        <v>70</v>
      </c>
      <c r="ATM13" s="2">
        <v>470</v>
      </c>
      <c r="ATN13" s="2">
        <v>15</v>
      </c>
      <c r="ATO13" s="2">
        <v>2.8</v>
      </c>
      <c r="ATP13" s="2">
        <v>15</v>
      </c>
      <c r="ATQ13" s="2">
        <v>3.7</v>
      </c>
      <c r="ATR13" s="10">
        <v>17141720</v>
      </c>
      <c r="ATS13" s="10">
        <v>3828280</v>
      </c>
      <c r="ATT13" s="2">
        <v>100000</v>
      </c>
      <c r="ATU13" s="2">
        <v>80000</v>
      </c>
      <c r="ATV13" s="2">
        <v>5000</v>
      </c>
      <c r="ATW13" s="2">
        <v>14000</v>
      </c>
      <c r="ATX13" s="2">
        <v>1400</v>
      </c>
      <c r="ATY13" s="2">
        <v>10000</v>
      </c>
      <c r="ATZ13" s="2">
        <v>108</v>
      </c>
      <c r="AUA13" s="2">
        <v>105000</v>
      </c>
      <c r="AUB13" s="2">
        <v>100000</v>
      </c>
      <c r="AUC13" s="2">
        <v>0</v>
      </c>
      <c r="AUD13" s="2">
        <v>0</v>
      </c>
      <c r="AUE13" s="2">
        <v>0</v>
      </c>
      <c r="AUF13" s="2">
        <v>0</v>
      </c>
      <c r="AUG13" s="2">
        <v>0</v>
      </c>
      <c r="AUH13" s="2">
        <v>0</v>
      </c>
      <c r="AUI13" s="2">
        <v>5000</v>
      </c>
      <c r="AUJ13" s="2">
        <v>400000</v>
      </c>
      <c r="AUK13" s="2">
        <v>1424850.75</v>
      </c>
      <c r="AUL13" s="2">
        <v>0</v>
      </c>
      <c r="AUM13" s="2">
        <v>0.9</v>
      </c>
      <c r="AUN13" s="2">
        <v>1.2</v>
      </c>
      <c r="AUO13" s="2">
        <v>0.01</v>
      </c>
      <c r="AUP13" s="2">
        <v>2.6</v>
      </c>
      <c r="AUQ13" s="2">
        <v>0</v>
      </c>
      <c r="AUR13" s="2">
        <v>7.8</v>
      </c>
      <c r="AUS13" s="2">
        <v>0.6</v>
      </c>
      <c r="AUT13" s="2">
        <v>6</v>
      </c>
      <c r="AUU13" s="2">
        <v>0</v>
      </c>
      <c r="AUV13" s="2">
        <v>0</v>
      </c>
      <c r="AUW13" s="2">
        <v>0</v>
      </c>
      <c r="AUX13" s="2">
        <v>0</v>
      </c>
      <c r="AUY13" s="2">
        <v>0.1</v>
      </c>
      <c r="AUZ13" s="2">
        <v>2</v>
      </c>
      <c r="AVA13" s="2">
        <v>4</v>
      </c>
      <c r="AVB13" s="2">
        <v>0.6</v>
      </c>
      <c r="AVC13" s="2">
        <v>0.5</v>
      </c>
      <c r="AVD13" s="2">
        <v>0.95</v>
      </c>
      <c r="AVE13" s="2">
        <v>1</v>
      </c>
      <c r="AVF13" s="2">
        <v>1</v>
      </c>
      <c r="AVG13" s="2">
        <v>1</v>
      </c>
      <c r="AVH13" s="2">
        <v>1</v>
      </c>
      <c r="AVI13" s="2">
        <v>1</v>
      </c>
      <c r="AVJ13" s="2">
        <v>1</v>
      </c>
      <c r="AVK13" s="2">
        <v>1</v>
      </c>
      <c r="AVL13" s="2">
        <v>1</v>
      </c>
      <c r="AVM13" s="2">
        <v>1</v>
      </c>
      <c r="AVN13" s="2">
        <v>1</v>
      </c>
      <c r="AVO13" s="2">
        <v>1</v>
      </c>
      <c r="AVP13" s="2">
        <v>1</v>
      </c>
      <c r="AVQ13" s="2">
        <v>1</v>
      </c>
      <c r="AVR13" s="2">
        <v>1</v>
      </c>
      <c r="AVS13" s="2">
        <v>1</v>
      </c>
      <c r="AVT13" s="2">
        <v>1</v>
      </c>
      <c r="AVU13" s="2">
        <v>1</v>
      </c>
      <c r="AVV13" s="2">
        <v>1</v>
      </c>
      <c r="AVW13" s="2">
        <v>1</v>
      </c>
      <c r="AVX13" s="2">
        <v>1</v>
      </c>
      <c r="AVY13" s="2">
        <v>1</v>
      </c>
      <c r="AVZ13" s="2">
        <v>1</v>
      </c>
      <c r="AWA13" s="2">
        <v>1</v>
      </c>
      <c r="AWB13" s="2">
        <v>1</v>
      </c>
      <c r="AWC13" s="2">
        <v>1</v>
      </c>
      <c r="AWD13" s="2">
        <v>1</v>
      </c>
      <c r="AWE13" s="2">
        <v>60</v>
      </c>
      <c r="AWF13" s="2">
        <v>5</v>
      </c>
      <c r="AWG13" s="2">
        <v>4.5</v>
      </c>
      <c r="AWH13" s="2">
        <v>74.14</v>
      </c>
      <c r="AWI13" s="2">
        <v>14.57</v>
      </c>
      <c r="AWJ13" s="2">
        <v>14.57</v>
      </c>
      <c r="AWK13" s="2">
        <v>0.45</v>
      </c>
      <c r="AWL13" s="2">
        <v>25</v>
      </c>
      <c r="AWM13" s="2">
        <v>2</v>
      </c>
      <c r="AWN13" s="2">
        <v>1</v>
      </c>
      <c r="AWO13" s="2">
        <v>4</v>
      </c>
      <c r="AWP13" s="2">
        <v>25</v>
      </c>
      <c r="AWQ13" s="2">
        <v>5</v>
      </c>
      <c r="AWR13" s="2">
        <v>19</v>
      </c>
      <c r="AWS13" s="2">
        <v>25</v>
      </c>
      <c r="AWT13" s="2">
        <v>2</v>
      </c>
      <c r="AWU13" s="2">
        <v>3.4</v>
      </c>
      <c r="AWV13" s="2">
        <v>3</v>
      </c>
      <c r="AWW13" s="2">
        <v>4</v>
      </c>
      <c r="AWX13" s="2">
        <v>16</v>
      </c>
      <c r="AWY13" s="2">
        <v>16</v>
      </c>
      <c r="AWZ13" s="2">
        <v>25</v>
      </c>
      <c r="AXA13" s="2">
        <v>25</v>
      </c>
      <c r="AXB13" s="2">
        <v>25</v>
      </c>
    </row>
    <row r="14" spans="1:1302" x14ac:dyDescent="0.3">
      <c r="FJ14" s="8"/>
      <c r="FK14" s="8"/>
      <c r="FL14" s="8"/>
      <c r="FN14" s="8"/>
      <c r="FO14" s="8"/>
      <c r="FQ14" s="8"/>
      <c r="FS14" s="8"/>
      <c r="FT14" s="8"/>
      <c r="FU14" s="8"/>
      <c r="FX14" s="8"/>
      <c r="GA14" s="8"/>
      <c r="GC14" s="8"/>
      <c r="GD14" s="8"/>
      <c r="GL14" s="8"/>
      <c r="GM14" s="8"/>
      <c r="GN14" s="8"/>
      <c r="GO14" s="8"/>
      <c r="GQ14" s="8"/>
      <c r="GU14" s="8"/>
      <c r="GV14" s="8"/>
      <c r="HC14" s="8"/>
      <c r="HM14" s="8"/>
      <c r="HN14" s="8"/>
      <c r="HR14" s="8"/>
      <c r="HW14" s="8"/>
      <c r="ID14" s="8"/>
      <c r="IV14" s="8"/>
      <c r="JK14" s="8"/>
      <c r="JL14" s="8"/>
      <c r="JM14" s="8"/>
      <c r="AJU14" s="8"/>
      <c r="AJW14" s="8"/>
      <c r="AJZ14" s="8"/>
      <c r="ATV14" s="11"/>
    </row>
    <row r="15" spans="1:1302" x14ac:dyDescent="0.3">
      <c r="FJ15" s="8"/>
      <c r="FK15" s="8"/>
      <c r="FL15" s="8"/>
      <c r="FN15" s="8"/>
      <c r="FO15" s="8"/>
      <c r="FQ15" s="8"/>
      <c r="FS15" s="8"/>
      <c r="FT15" s="8"/>
      <c r="FU15" s="8"/>
      <c r="FX15" s="8"/>
      <c r="GA15" s="8"/>
      <c r="GC15" s="8"/>
      <c r="GD15" s="8"/>
      <c r="GL15" s="8"/>
      <c r="GM15" s="8"/>
      <c r="GN15" s="8"/>
      <c r="GO15" s="8"/>
      <c r="GQ15" s="8"/>
      <c r="GU15" s="8"/>
      <c r="GV15" s="8"/>
      <c r="HC15" s="8"/>
      <c r="HM15" s="8"/>
      <c r="HN15" s="8"/>
      <c r="HR15" s="8"/>
      <c r="HW15" s="8"/>
      <c r="ID15" s="8"/>
      <c r="IV15" s="8"/>
      <c r="JK15" s="8"/>
      <c r="JL15" s="8"/>
      <c r="JM15" s="8"/>
      <c r="ZZ15" s="2">
        <f>SUM(ZN6:ZZ6)</f>
        <v>1</v>
      </c>
      <c r="AFJ15" s="2">
        <f>AFK15/AFK18</f>
        <v>0.99451303155006876</v>
      </c>
      <c r="AFK15" s="2">
        <v>2.9</v>
      </c>
      <c r="AFL15" s="2" t="s">
        <v>1314</v>
      </c>
      <c r="AJU15" s="8"/>
      <c r="AJW15" s="8"/>
      <c r="AJZ15" s="8"/>
      <c r="ATV15" s="12"/>
    </row>
    <row r="16" spans="1:1302" x14ac:dyDescent="0.3">
      <c r="FJ16" s="8"/>
      <c r="FK16" s="8"/>
      <c r="FL16" s="8"/>
      <c r="FN16" s="8"/>
      <c r="FO16" s="8"/>
      <c r="FQ16" s="8"/>
      <c r="FS16" s="8"/>
      <c r="FT16" s="8"/>
      <c r="FU16" s="8"/>
      <c r="FX16" s="8"/>
      <c r="GA16" s="8"/>
      <c r="GC16" s="8"/>
      <c r="GD16" s="8"/>
      <c r="GL16" s="8"/>
      <c r="GM16" s="8"/>
      <c r="GN16" s="8"/>
      <c r="GO16" s="8"/>
      <c r="GQ16" s="8"/>
      <c r="GU16" s="8"/>
      <c r="GV16" s="8"/>
      <c r="HC16" s="8"/>
      <c r="HM16" s="8"/>
      <c r="HN16" s="8"/>
      <c r="HR16" s="8"/>
      <c r="HW16" s="8"/>
      <c r="ID16" s="8"/>
      <c r="IV16" s="8"/>
      <c r="JK16" s="8"/>
      <c r="JL16" s="8"/>
      <c r="JM16" s="8"/>
      <c r="SL16" s="2">
        <f>SUM(RZ6:SL6)</f>
        <v>1</v>
      </c>
      <c r="SY16" s="2">
        <f>SUM(SM6:SY6)</f>
        <v>1</v>
      </c>
      <c r="TL16" s="2">
        <f>SUM(SZ6:TL6)</f>
        <v>1</v>
      </c>
      <c r="TY16" s="2">
        <f>SUM(TM6:TY6)</f>
        <v>1</v>
      </c>
      <c r="UL16" s="2">
        <f>SUM(TZ6:UL6)</f>
        <v>1</v>
      </c>
      <c r="UY16" s="2">
        <f>SUM(UM6:UY6)</f>
        <v>1</v>
      </c>
      <c r="VL16" s="2">
        <f>SUM(UZ6:VL6)</f>
        <v>1</v>
      </c>
      <c r="VZ16" s="2">
        <f>SUM(VM6:VZ6)</f>
        <v>1</v>
      </c>
      <c r="WM16" s="2">
        <f>SUM(WA6:WM6)</f>
        <v>1</v>
      </c>
      <c r="WZ16" s="2">
        <f>SUM(WN6:WZ6)</f>
        <v>1</v>
      </c>
      <c r="XM16" s="2">
        <f>SUM(XA6:XM6)</f>
        <v>1</v>
      </c>
      <c r="XZ16" s="2">
        <f>SUM(XN6:XZ6)</f>
        <v>1</v>
      </c>
      <c r="AAM16" s="2">
        <f>SUM(AAA6:AAM6)</f>
        <v>1</v>
      </c>
      <c r="AAZ16" s="2">
        <f>SUM(AAN6:AAZ6)</f>
        <v>1</v>
      </c>
      <c r="ADC16" s="2">
        <f>SUM(ACU6:ADC6)</f>
        <v>1</v>
      </c>
      <c r="ADU16" s="2">
        <f>SUM(ADM6:ADU6)</f>
        <v>1</v>
      </c>
      <c r="ADZ16" s="2">
        <f>SUM(ADY6:ADZ6)</f>
        <v>1</v>
      </c>
      <c r="AEG16" s="2">
        <f>SUM(AEA6:AEG6)</f>
        <v>1</v>
      </c>
      <c r="AFJ16" s="2">
        <f>AFK16/AFK18</f>
        <v>3.4293552812071338E-3</v>
      </c>
      <c r="AFK16" s="2">
        <v>0.01</v>
      </c>
      <c r="AFL16" s="2" t="s">
        <v>1312</v>
      </c>
      <c r="AJU16" s="8"/>
      <c r="AJW16" s="8"/>
      <c r="AJZ16" s="8"/>
      <c r="AMJ16" s="2" t="s">
        <v>1375</v>
      </c>
      <c r="AML16" s="2" t="s">
        <v>1311</v>
      </c>
      <c r="AMN16" s="2" t="s">
        <v>1376</v>
      </c>
      <c r="AMR16" s="2" t="s">
        <v>1377</v>
      </c>
      <c r="AMV16" s="2" t="s">
        <v>1378</v>
      </c>
      <c r="AMZ16" s="2" t="s">
        <v>1379</v>
      </c>
      <c r="ATQ16" s="13"/>
      <c r="ATR16" s="14"/>
      <c r="ATV16" s="12"/>
    </row>
    <row r="17" spans="38:1218" x14ac:dyDescent="0.3">
      <c r="FJ17" s="8"/>
      <c r="FK17" s="8"/>
      <c r="FL17" s="8"/>
      <c r="FN17" s="8"/>
      <c r="FO17" s="8"/>
      <c r="FQ17" s="8"/>
      <c r="FS17" s="8"/>
      <c r="FT17" s="8"/>
      <c r="FU17" s="8"/>
      <c r="FX17" s="8"/>
      <c r="GA17" s="8"/>
      <c r="GC17" s="8"/>
      <c r="GD17" s="8"/>
      <c r="GL17" s="8"/>
      <c r="GM17" s="8"/>
      <c r="GN17" s="8"/>
      <c r="GO17" s="8"/>
      <c r="GQ17" s="8"/>
      <c r="GU17" s="8"/>
      <c r="GV17" s="8"/>
      <c r="HC17" s="8"/>
      <c r="HM17" s="8"/>
      <c r="HN17" s="8"/>
      <c r="HR17" s="8"/>
      <c r="HW17" s="8"/>
      <c r="ID17" s="8"/>
      <c r="IV17" s="8"/>
      <c r="JK17" s="8"/>
      <c r="JL17" s="8"/>
      <c r="JM17" s="8"/>
      <c r="AFJ17" s="2">
        <f>AFK17/AFK18</f>
        <v>2.0576131687242804E-3</v>
      </c>
      <c r="AFK17" s="2">
        <v>6.0000000000000001E-3</v>
      </c>
      <c r="AFL17" s="2" t="s">
        <v>1313</v>
      </c>
      <c r="AFM17" s="2" t="s">
        <v>1315</v>
      </c>
      <c r="AFO17" s="2">
        <v>5.3999999999999999E-2</v>
      </c>
      <c r="AFR17" s="2">
        <v>0.23699999999999999</v>
      </c>
      <c r="AJU17" s="8"/>
      <c r="AJW17" s="8"/>
      <c r="AJZ17" s="8"/>
      <c r="AMI17" s="2">
        <v>2022</v>
      </c>
      <c r="AMJ17" s="2">
        <v>117</v>
      </c>
      <c r="AMK17" s="2">
        <f>AMJ17/AND17</f>
        <v>7.2929003303621514E-3</v>
      </c>
      <c r="AML17" s="2">
        <v>5174</v>
      </c>
      <c r="AMM17" s="2">
        <f>AML17/AND17</f>
        <v>0.32250825905379293</v>
      </c>
      <c r="AMN17" s="2">
        <v>5364</v>
      </c>
      <c r="AMO17" s="2">
        <v>1377</v>
      </c>
      <c r="AMP17" s="15">
        <f>SUM(AMN17:AMO17)</f>
        <v>6741</v>
      </c>
      <c r="AMQ17" s="2">
        <f>AMP17/AND17</f>
        <v>0.42018325749548091</v>
      </c>
      <c r="AMR17" s="2">
        <v>1337</v>
      </c>
      <c r="AMS17" s="2">
        <v>1231</v>
      </c>
      <c r="AMT17" s="15">
        <f>SUM(AMR17:AMS17)</f>
        <v>2568</v>
      </c>
      <c r="AMU17" s="2">
        <f>AMT17/AND17</f>
        <v>0.16006981237923082</v>
      </c>
      <c r="AMV17" s="2">
        <v>530</v>
      </c>
      <c r="AMW17" s="2">
        <v>190</v>
      </c>
      <c r="AMX17" s="15">
        <f>SUM(AMV17:AMW17)</f>
        <v>720</v>
      </c>
      <c r="AMY17" s="2">
        <f>AMX17/AND17</f>
        <v>4.4879386648382473E-2</v>
      </c>
      <c r="AMZ17" s="2">
        <v>347</v>
      </c>
      <c r="ANA17" s="2">
        <v>376</v>
      </c>
      <c r="ANB17" s="15">
        <f>SUM(AMZ17:ANA17)</f>
        <v>723</v>
      </c>
      <c r="ANC17" s="2">
        <f>ANB17/AND17</f>
        <v>4.5066384092750732E-2</v>
      </c>
      <c r="AND17" s="2">
        <f>AMJ17+AML17+AMP17+AMT17+AMX17+ANB17</f>
        <v>16043</v>
      </c>
      <c r="ATQ17" s="13"/>
      <c r="ATR17" s="14"/>
      <c r="ATV17" s="12"/>
    </row>
    <row r="18" spans="38:1218" x14ac:dyDescent="0.3">
      <c r="FJ18" s="8"/>
      <c r="FK18" s="8"/>
      <c r="FL18" s="8"/>
      <c r="FN18" s="8"/>
      <c r="FO18" s="8"/>
      <c r="FQ18" s="8"/>
      <c r="FS18" s="8"/>
      <c r="FT18" s="8"/>
      <c r="FU18" s="8"/>
      <c r="FX18" s="8"/>
      <c r="GA18" s="8"/>
      <c r="GC18" s="8"/>
      <c r="GD18" s="8"/>
      <c r="GL18" s="8"/>
      <c r="GM18" s="8"/>
      <c r="GN18" s="8"/>
      <c r="GO18" s="8"/>
      <c r="GQ18" s="8"/>
      <c r="GU18" s="8"/>
      <c r="GV18" s="8"/>
      <c r="HC18" s="8"/>
      <c r="HM18" s="8"/>
      <c r="HN18" s="8"/>
      <c r="HR18" s="8"/>
      <c r="HW18" s="8"/>
      <c r="ID18" s="8"/>
      <c r="IV18" s="8"/>
      <c r="JK18" s="8"/>
      <c r="JL18" s="8"/>
      <c r="JM18" s="8"/>
      <c r="AFK18" s="2">
        <f>SUM(AFK15:AFK17)</f>
        <v>2.9159999999999995</v>
      </c>
      <c r="AFR18" s="2">
        <v>4.2999999999999997E-2</v>
      </c>
      <c r="AJU18" s="8"/>
      <c r="AJW18" s="8"/>
      <c r="AJZ18" s="8"/>
      <c r="AMI18" s="2">
        <v>2021</v>
      </c>
      <c r="AMJ18" s="2">
        <v>163</v>
      </c>
      <c r="AMK18" s="2">
        <f t="shared" ref="AMK18:AMK24" si="1">AMJ18/AND18</f>
        <v>9.8145472061657024E-3</v>
      </c>
      <c r="AML18" s="2">
        <v>5519</v>
      </c>
      <c r="AMM18" s="2">
        <f t="shared" ref="AMM18:AMM24" si="2">AML18/AND18</f>
        <v>0.33230973025048172</v>
      </c>
      <c r="AMN18" s="2">
        <v>5640</v>
      </c>
      <c r="AMO18" s="2">
        <v>1568</v>
      </c>
      <c r="AMP18" s="15">
        <f t="shared" ref="AMP18:AMP24" si="3">SUM(AMN18:AMO18)</f>
        <v>7208</v>
      </c>
      <c r="AMQ18" s="2">
        <f t="shared" ref="AMQ18:AMQ24" si="4">AMP18/AND18</f>
        <v>0.43400770712909442</v>
      </c>
      <c r="AMR18" s="2">
        <v>1128</v>
      </c>
      <c r="AMS18" s="2">
        <v>1400</v>
      </c>
      <c r="AMT18" s="15">
        <f t="shared" ref="AMT18:AMT24" si="5">SUM(AMR18:AMS18)</f>
        <v>2528</v>
      </c>
      <c r="AMU18" s="2">
        <f t="shared" ref="AMU18:AMU24" si="6">AMT18/AND18</f>
        <v>0.15221579961464354</v>
      </c>
      <c r="AMV18" s="2">
        <v>389</v>
      </c>
      <c r="AMW18" s="2">
        <v>156</v>
      </c>
      <c r="AMX18" s="15">
        <f t="shared" ref="AMX18:AMX24" si="7">SUM(AMV18:AMW18)</f>
        <v>545</v>
      </c>
      <c r="AMY18" s="2">
        <f t="shared" ref="AMY18:AMY24" si="8">AMX18/AND18</f>
        <v>3.2815510597302505E-2</v>
      </c>
      <c r="AMZ18" s="2">
        <v>318</v>
      </c>
      <c r="ANA18" s="2">
        <v>327</v>
      </c>
      <c r="ANB18" s="15">
        <f t="shared" ref="ANB18:ANB24" si="9">SUM(AMZ18:ANA18)</f>
        <v>645</v>
      </c>
      <c r="ANC18" s="2">
        <f t="shared" ref="ANC18:ANC24" si="10">ANB18/AND18</f>
        <v>3.8836705202312138E-2</v>
      </c>
      <c r="AND18" s="2">
        <f t="shared" ref="AND18:AND24" si="11">AMJ18+AML18+AMP18+AMT18+AMX18+ANB18</f>
        <v>16608</v>
      </c>
      <c r="ATQ18" s="13"/>
      <c r="ATR18" s="14"/>
      <c r="ATV18" s="12"/>
    </row>
    <row r="19" spans="38:1218" x14ac:dyDescent="0.3">
      <c r="FJ19" s="8"/>
      <c r="FK19" s="8"/>
      <c r="FL19" s="8"/>
      <c r="FN19" s="8"/>
      <c r="FO19" s="8"/>
      <c r="FQ19" s="8"/>
      <c r="FS19" s="8"/>
      <c r="FT19" s="8"/>
      <c r="FU19" s="8"/>
      <c r="FX19" s="8"/>
      <c r="GA19" s="8"/>
      <c r="GC19" s="8"/>
      <c r="GD19" s="8"/>
      <c r="GL19" s="8"/>
      <c r="GM19" s="8"/>
      <c r="GN19" s="8"/>
      <c r="GO19" s="8"/>
      <c r="GQ19" s="8"/>
      <c r="GU19" s="8"/>
      <c r="GV19" s="8"/>
      <c r="HC19" s="8"/>
      <c r="HM19" s="8"/>
      <c r="HN19" s="8"/>
      <c r="HR19" s="8"/>
      <c r="HW19" s="8"/>
      <c r="ID19" s="8"/>
      <c r="IV19" s="8"/>
      <c r="JK19" s="8"/>
      <c r="JL19" s="8"/>
      <c r="JM19" s="8"/>
      <c r="AFR19" s="2">
        <f>SUM(AFR17:AFR18)</f>
        <v>0.27999999999999997</v>
      </c>
      <c r="AJU19" s="8"/>
      <c r="AJW19" s="8"/>
      <c r="AJZ19" s="8"/>
      <c r="AMI19" s="2">
        <v>2020</v>
      </c>
      <c r="AMJ19" s="2">
        <v>148</v>
      </c>
      <c r="AMK19" s="2">
        <f t="shared" si="1"/>
        <v>9.0538705296514255E-3</v>
      </c>
      <c r="AML19" s="2">
        <v>6358.9</v>
      </c>
      <c r="AMM19" s="2">
        <f t="shared" si="2"/>
        <v>0.38900444129054357</v>
      </c>
      <c r="AMN19" s="2">
        <v>3911</v>
      </c>
      <c r="AMO19" s="2">
        <v>1047</v>
      </c>
      <c r="AMP19" s="15">
        <f t="shared" si="3"/>
        <v>4958</v>
      </c>
      <c r="AMQ19" s="2">
        <f t="shared" si="4"/>
        <v>0.30330466274332274</v>
      </c>
      <c r="AMR19" s="2">
        <v>1462</v>
      </c>
      <c r="AMS19" s="2">
        <v>2717</v>
      </c>
      <c r="AMT19" s="15">
        <f t="shared" si="5"/>
        <v>4179</v>
      </c>
      <c r="AMU19" s="2">
        <f t="shared" si="6"/>
        <v>0.25564949286090072</v>
      </c>
      <c r="AMV19" s="2">
        <v>102</v>
      </c>
      <c r="AMW19" s="2">
        <v>269</v>
      </c>
      <c r="AMX19" s="15">
        <f t="shared" si="7"/>
        <v>371</v>
      </c>
      <c r="AMY19" s="2">
        <f t="shared" si="8"/>
        <v>2.2695851125004586E-2</v>
      </c>
      <c r="AMZ19" s="2">
        <v>7.7</v>
      </c>
      <c r="ANA19" s="2">
        <v>324</v>
      </c>
      <c r="ANB19" s="15">
        <f t="shared" si="9"/>
        <v>331.7</v>
      </c>
      <c r="ANC19" s="2">
        <f t="shared" si="10"/>
        <v>2.0291681450576877E-2</v>
      </c>
      <c r="AND19" s="2">
        <f t="shared" si="11"/>
        <v>16346.6</v>
      </c>
      <c r="ATQ19" s="13"/>
      <c r="ATR19" s="14"/>
      <c r="ATV19" s="12"/>
    </row>
    <row r="20" spans="38:1218" x14ac:dyDescent="0.3">
      <c r="FJ20" s="8"/>
      <c r="FK20" s="8"/>
      <c r="FL20" s="8"/>
      <c r="FN20" s="8"/>
      <c r="FO20" s="8"/>
      <c r="FQ20" s="8"/>
      <c r="FS20" s="8"/>
      <c r="FT20" s="8"/>
      <c r="FU20" s="8"/>
      <c r="FX20" s="8"/>
      <c r="GA20" s="8"/>
      <c r="GC20" s="8"/>
      <c r="GD20" s="8"/>
      <c r="GL20" s="8"/>
      <c r="GM20" s="8"/>
      <c r="GN20" s="8"/>
      <c r="GO20" s="8"/>
      <c r="GQ20" s="8"/>
      <c r="GU20" s="8"/>
      <c r="GV20" s="8"/>
      <c r="HC20" s="8"/>
      <c r="HM20" s="8"/>
      <c r="HN20" s="8"/>
      <c r="HR20" s="8"/>
      <c r="HW20" s="8"/>
      <c r="ID20" s="8"/>
      <c r="IV20" s="8"/>
      <c r="JK20" s="8"/>
      <c r="JL20" s="8"/>
      <c r="JM20" s="8"/>
      <c r="AJU20" s="8"/>
      <c r="AJW20" s="8"/>
      <c r="AJZ20" s="8"/>
      <c r="AMI20" s="2">
        <v>2019</v>
      </c>
      <c r="AMJ20" s="2">
        <v>140</v>
      </c>
      <c r="AMK20" s="2">
        <f t="shared" si="1"/>
        <v>8.4852598913886731E-3</v>
      </c>
      <c r="AML20" s="2">
        <v>5910.2</v>
      </c>
      <c r="AMM20" s="2">
        <f t="shared" si="2"/>
        <v>0.35821130721489525</v>
      </c>
      <c r="AMN20" s="2">
        <v>3784</v>
      </c>
      <c r="AMO20" s="2">
        <v>1011</v>
      </c>
      <c r="AMP20" s="15">
        <f t="shared" si="3"/>
        <v>4795</v>
      </c>
      <c r="AMQ20" s="2">
        <f t="shared" si="4"/>
        <v>0.29062015128006208</v>
      </c>
      <c r="AMR20" s="2">
        <v>2137</v>
      </c>
      <c r="AMS20" s="2">
        <v>2875</v>
      </c>
      <c r="AMT20" s="15">
        <f t="shared" si="5"/>
        <v>5012</v>
      </c>
      <c r="AMU20" s="2">
        <f t="shared" si="6"/>
        <v>0.30377230411171452</v>
      </c>
      <c r="AMV20" s="2">
        <v>112</v>
      </c>
      <c r="AMW20" s="2">
        <v>182</v>
      </c>
      <c r="AMX20" s="15">
        <f t="shared" si="7"/>
        <v>294</v>
      </c>
      <c r="AMY20" s="2">
        <f t="shared" si="8"/>
        <v>1.7819045771916214E-2</v>
      </c>
      <c r="AMZ20" s="2">
        <v>0</v>
      </c>
      <c r="ANA20" s="2">
        <v>348</v>
      </c>
      <c r="ANB20" s="15">
        <f t="shared" si="9"/>
        <v>348</v>
      </c>
      <c r="ANC20" s="2">
        <f t="shared" si="10"/>
        <v>2.1091931730023272E-2</v>
      </c>
      <c r="AND20" s="2">
        <f t="shared" si="11"/>
        <v>16499.2</v>
      </c>
      <c r="ATQ20" s="13"/>
      <c r="ATR20" s="14"/>
      <c r="ATV20" s="12"/>
    </row>
    <row r="21" spans="38:1218" x14ac:dyDescent="0.3">
      <c r="FJ21" s="8"/>
      <c r="FK21" s="8"/>
      <c r="FL21" s="8"/>
      <c r="FN21" s="8"/>
      <c r="FO21" s="8"/>
      <c r="FQ21" s="8"/>
      <c r="FS21" s="8"/>
      <c r="FT21" s="8"/>
      <c r="FU21" s="8"/>
      <c r="FX21" s="8"/>
      <c r="GA21" s="8"/>
      <c r="GC21" s="8"/>
      <c r="GD21" s="8"/>
      <c r="GL21" s="8"/>
      <c r="GM21" s="8"/>
      <c r="GN21" s="8"/>
      <c r="GO21" s="8"/>
      <c r="GQ21" s="8"/>
      <c r="GU21" s="8"/>
      <c r="GV21" s="8"/>
      <c r="HC21" s="8"/>
      <c r="HM21" s="8"/>
      <c r="HN21" s="8"/>
      <c r="HR21" s="8"/>
      <c r="HW21" s="8"/>
      <c r="ID21" s="8"/>
      <c r="IV21" s="8"/>
      <c r="JK21" s="8"/>
      <c r="JL21" s="8"/>
      <c r="JM21" s="8"/>
      <c r="AJU21" s="8"/>
      <c r="AJW21" s="8"/>
      <c r="AJZ21" s="8"/>
      <c r="AMI21" s="2">
        <v>2018</v>
      </c>
      <c r="AMJ21" s="2">
        <v>95</v>
      </c>
      <c r="AMK21" s="2">
        <f t="shared" si="1"/>
        <v>6.180751188981347E-3</v>
      </c>
      <c r="AML21" s="2">
        <v>4764</v>
      </c>
      <c r="AMM21" s="2">
        <f t="shared" si="2"/>
        <v>0.3099484069927067</v>
      </c>
      <c r="AMN21" s="2">
        <v>5149</v>
      </c>
      <c r="AMO21" s="2">
        <v>1232</v>
      </c>
      <c r="AMP21" s="15">
        <f t="shared" si="3"/>
        <v>6381</v>
      </c>
      <c r="AMQ21" s="2">
        <f t="shared" si="4"/>
        <v>0.41515129828305242</v>
      </c>
      <c r="AMR21" s="2">
        <v>1886</v>
      </c>
      <c r="AMS21" s="2">
        <v>1740</v>
      </c>
      <c r="AMT21" s="15">
        <f t="shared" si="5"/>
        <v>3626</v>
      </c>
      <c r="AMU21" s="2">
        <f t="shared" si="6"/>
        <v>0.23590951380259331</v>
      </c>
      <c r="AMV21" s="2">
        <v>90</v>
      </c>
      <c r="AMW21" s="2">
        <v>88</v>
      </c>
      <c r="AMX21" s="15">
        <f t="shared" si="7"/>
        <v>178</v>
      </c>
      <c r="AMY21" s="2">
        <f t="shared" si="8"/>
        <v>1.1580775911986104E-2</v>
      </c>
      <c r="AMZ21" s="2">
        <v>326.3</v>
      </c>
      <c r="ANB21" s="15">
        <f t="shared" si="9"/>
        <v>326.3</v>
      </c>
      <c r="ANC21" s="2">
        <f t="shared" si="10"/>
        <v>2.1229253820680145E-2</v>
      </c>
      <c r="AND21" s="2">
        <f t="shared" si="11"/>
        <v>15370.3</v>
      </c>
      <c r="ATQ21" s="13"/>
      <c r="ATR21" s="14"/>
      <c r="ATV21" s="12"/>
    </row>
    <row r="22" spans="38:1218" x14ac:dyDescent="0.3">
      <c r="FJ22" s="8"/>
      <c r="FK22" s="8"/>
      <c r="FL22" s="8"/>
      <c r="FN22" s="8"/>
      <c r="FO22" s="8"/>
      <c r="FQ22" s="8"/>
      <c r="FS22" s="8"/>
      <c r="FT22" s="8"/>
      <c r="FU22" s="8"/>
      <c r="FX22" s="8"/>
      <c r="GA22" s="8"/>
      <c r="GC22" s="8"/>
      <c r="GD22" s="8"/>
      <c r="GL22" s="8"/>
      <c r="GM22" s="8"/>
      <c r="GN22" s="8"/>
      <c r="GO22" s="8"/>
      <c r="GQ22" s="8"/>
      <c r="GU22" s="8"/>
      <c r="GV22" s="8"/>
      <c r="HC22" s="8"/>
      <c r="HM22" s="8"/>
      <c r="HN22" s="8"/>
      <c r="HR22" s="8"/>
      <c r="HW22" s="8"/>
      <c r="ID22" s="8"/>
      <c r="IV22" s="8"/>
      <c r="JK22" s="8"/>
      <c r="JL22" s="8"/>
      <c r="JM22" s="8"/>
      <c r="AJU22" s="8"/>
      <c r="AJW22" s="8"/>
      <c r="AJZ22" s="8"/>
      <c r="AMI22" s="2">
        <v>2017</v>
      </c>
      <c r="AMJ22" s="2">
        <v>75</v>
      </c>
      <c r="AMK22" s="2">
        <f t="shared" si="1"/>
        <v>5.1110111624483789E-3</v>
      </c>
      <c r="AML22" s="2">
        <v>5103</v>
      </c>
      <c r="AMM22" s="2">
        <f t="shared" si="2"/>
        <v>0.34775319949298766</v>
      </c>
      <c r="AMN22" s="2">
        <v>3059</v>
      </c>
      <c r="AMO22" s="2">
        <v>945</v>
      </c>
      <c r="AMP22" s="15">
        <f t="shared" si="3"/>
        <v>4004</v>
      </c>
      <c r="AMQ22" s="2">
        <f t="shared" si="4"/>
        <v>0.27285984925924411</v>
      </c>
      <c r="AMR22" s="2">
        <v>2529</v>
      </c>
      <c r="AMS22" s="2">
        <v>2516</v>
      </c>
      <c r="AMT22" s="15">
        <f t="shared" si="5"/>
        <v>5045</v>
      </c>
      <c r="AMU22" s="2">
        <f t="shared" si="6"/>
        <v>0.34380068419402759</v>
      </c>
      <c r="AMV22" s="2">
        <v>80</v>
      </c>
      <c r="AMW22" s="2">
        <v>0</v>
      </c>
      <c r="AMX22" s="15">
        <f t="shared" si="7"/>
        <v>80</v>
      </c>
      <c r="AMY22" s="2">
        <f t="shared" si="8"/>
        <v>5.4517452399449372E-3</v>
      </c>
      <c r="AMZ22" s="2">
        <v>367.2</v>
      </c>
      <c r="ANB22" s="15">
        <f t="shared" si="9"/>
        <v>367.2</v>
      </c>
      <c r="ANC22" s="2">
        <f t="shared" si="10"/>
        <v>2.502351065134726E-2</v>
      </c>
      <c r="AND22" s="2">
        <f t="shared" si="11"/>
        <v>14674.2</v>
      </c>
      <c r="ATQ22" s="13"/>
      <c r="ATR22" s="14"/>
    </row>
    <row r="23" spans="38:1218" x14ac:dyDescent="0.3">
      <c r="FJ23" s="8"/>
      <c r="FK23" s="8"/>
      <c r="FL23" s="8"/>
      <c r="FN23" s="8"/>
      <c r="FO23" s="8"/>
      <c r="FQ23" s="8"/>
      <c r="FS23" s="8"/>
      <c r="FT23" s="8"/>
      <c r="FU23" s="8"/>
      <c r="FX23" s="8"/>
      <c r="GA23" s="8"/>
      <c r="GC23" s="8"/>
      <c r="GD23" s="8"/>
      <c r="GL23" s="8"/>
      <c r="GM23" s="8"/>
      <c r="GN23" s="8"/>
      <c r="GO23" s="8"/>
      <c r="GQ23" s="8"/>
      <c r="GU23" s="8"/>
      <c r="GV23" s="8"/>
      <c r="HC23" s="8"/>
      <c r="HM23" s="8"/>
      <c r="HN23" s="8"/>
      <c r="HR23" s="8"/>
      <c r="HW23" s="8"/>
      <c r="ID23" s="8"/>
      <c r="IV23" s="8"/>
      <c r="JK23" s="8"/>
      <c r="JL23" s="8"/>
      <c r="JM23" s="8"/>
      <c r="AJU23" s="8"/>
      <c r="AJW23" s="8"/>
      <c r="AJZ23" s="8"/>
      <c r="AMI23" s="2">
        <v>2016</v>
      </c>
      <c r="AMJ23" s="2">
        <v>12</v>
      </c>
      <c r="AMK23" s="2">
        <f t="shared" si="1"/>
        <v>8.5209117375559186E-4</v>
      </c>
      <c r="AML23" s="2">
        <v>5047</v>
      </c>
      <c r="AMM23" s="2">
        <f t="shared" si="2"/>
        <v>0.35837534616203937</v>
      </c>
      <c r="AMN23" s="2">
        <v>3481</v>
      </c>
      <c r="AMO23" s="2">
        <v>739</v>
      </c>
      <c r="AMP23" s="15">
        <f t="shared" si="3"/>
        <v>4220</v>
      </c>
      <c r="AMQ23" s="2">
        <f t="shared" si="4"/>
        <v>0.29965206277071649</v>
      </c>
      <c r="AMR23" s="2">
        <v>2297</v>
      </c>
      <c r="AMS23" s="2">
        <v>2164</v>
      </c>
      <c r="AMT23" s="15">
        <f t="shared" si="5"/>
        <v>4461</v>
      </c>
      <c r="AMU23" s="2">
        <f t="shared" si="6"/>
        <v>0.31676489384364126</v>
      </c>
      <c r="AMX23" s="15">
        <f t="shared" si="7"/>
        <v>0</v>
      </c>
      <c r="AMY23" s="2">
        <f t="shared" si="8"/>
        <v>0</v>
      </c>
      <c r="AMZ23" s="2">
        <v>343</v>
      </c>
      <c r="ANB23" s="15">
        <f t="shared" si="9"/>
        <v>343</v>
      </c>
      <c r="ANC23" s="2">
        <f t="shared" si="10"/>
        <v>2.4355606049847333E-2</v>
      </c>
      <c r="AND23" s="2">
        <f t="shared" si="11"/>
        <v>14083</v>
      </c>
      <c r="ATQ23" s="13"/>
      <c r="ATR23" s="14"/>
    </row>
    <row r="24" spans="38:1218" x14ac:dyDescent="0.3">
      <c r="FJ24" s="8"/>
      <c r="FK24" s="8"/>
      <c r="FL24" s="8"/>
      <c r="FN24" s="8"/>
      <c r="FO24" s="8"/>
      <c r="FQ24" s="8"/>
      <c r="FS24" s="8"/>
      <c r="FT24" s="8"/>
      <c r="FU24" s="8"/>
      <c r="FX24" s="8"/>
      <c r="GA24" s="8"/>
      <c r="GC24" s="8"/>
      <c r="GD24" s="8"/>
      <c r="GL24" s="8"/>
      <c r="GM24" s="8"/>
      <c r="GN24" s="8"/>
      <c r="GO24" s="8"/>
      <c r="GQ24" s="8"/>
      <c r="GU24" s="8"/>
      <c r="GV24" s="8"/>
      <c r="HC24" s="8"/>
      <c r="HM24" s="8"/>
      <c r="HN24" s="8"/>
      <c r="HR24" s="8"/>
      <c r="HW24" s="8"/>
      <c r="ID24" s="8"/>
      <c r="IV24" s="8"/>
      <c r="JK24" s="8"/>
      <c r="JL24" s="8"/>
      <c r="JM24" s="8"/>
      <c r="AJU24" s="8"/>
      <c r="AJW24" s="8"/>
      <c r="AJZ24" s="8"/>
      <c r="AMI24" s="2">
        <v>2015</v>
      </c>
      <c r="AMJ24" s="2">
        <v>12</v>
      </c>
      <c r="AMK24" s="2">
        <f t="shared" si="1"/>
        <v>9.1987857602796421E-4</v>
      </c>
      <c r="AML24" s="2">
        <v>4447.2</v>
      </c>
      <c r="AMM24" s="2">
        <f t="shared" si="2"/>
        <v>0.34090700027596355</v>
      </c>
      <c r="AMN24" s="2">
        <v>4904</v>
      </c>
      <c r="AMO24" s="2">
        <v>1065</v>
      </c>
      <c r="AMP24" s="15">
        <f t="shared" si="3"/>
        <v>5969</v>
      </c>
      <c r="AMQ24" s="2">
        <f t="shared" si="4"/>
        <v>0.45756293502590989</v>
      </c>
      <c r="AMR24" s="2">
        <v>1050</v>
      </c>
      <c r="AMS24" s="2">
        <v>1225</v>
      </c>
      <c r="AMT24" s="15">
        <f t="shared" si="5"/>
        <v>2275</v>
      </c>
      <c r="AMU24" s="2">
        <f t="shared" si="6"/>
        <v>0.17439364670530155</v>
      </c>
      <c r="AMX24" s="15">
        <f t="shared" si="7"/>
        <v>0</v>
      </c>
      <c r="AMY24" s="2">
        <f t="shared" si="8"/>
        <v>0</v>
      </c>
      <c r="AMZ24" s="2">
        <v>342</v>
      </c>
      <c r="ANB24" s="15">
        <f t="shared" si="9"/>
        <v>342</v>
      </c>
      <c r="ANC24" s="2">
        <f t="shared" si="10"/>
        <v>2.6216539416796983E-2</v>
      </c>
      <c r="AND24" s="2">
        <f t="shared" si="11"/>
        <v>13045.2</v>
      </c>
    </row>
    <row r="25" spans="38:1218" x14ac:dyDescent="0.3">
      <c r="FJ25" s="8"/>
      <c r="FK25" s="8"/>
      <c r="FL25" s="8"/>
      <c r="FN25" s="8"/>
      <c r="FO25" s="8"/>
      <c r="FQ25" s="8"/>
      <c r="FS25" s="8"/>
      <c r="FT25" s="8"/>
      <c r="FU25" s="8"/>
      <c r="FX25" s="8"/>
      <c r="GA25" s="8"/>
      <c r="GC25" s="8"/>
      <c r="GD25" s="8"/>
      <c r="GL25" s="8"/>
      <c r="GM25" s="8"/>
      <c r="GN25" s="8"/>
      <c r="GO25" s="8"/>
      <c r="GQ25" s="8"/>
      <c r="GU25" s="8"/>
      <c r="GV25" s="8"/>
      <c r="HC25" s="8"/>
      <c r="HM25" s="8"/>
      <c r="HN25" s="8"/>
      <c r="HR25" s="8"/>
      <c r="HW25" s="8"/>
      <c r="ID25" s="8"/>
      <c r="IV25" s="8"/>
      <c r="JK25" s="8"/>
      <c r="JL25" s="8"/>
      <c r="JM25" s="8"/>
      <c r="AJU25" s="8"/>
      <c r="AJW25" s="8"/>
      <c r="AJZ25" s="8"/>
    </row>
    <row r="26" spans="38:1218" x14ac:dyDescent="0.3">
      <c r="FJ26" s="8"/>
      <c r="FK26" s="8"/>
      <c r="FL26" s="8"/>
      <c r="FN26" s="8"/>
      <c r="FO26" s="8"/>
      <c r="FQ26" s="8"/>
      <c r="FS26" s="8"/>
      <c r="FT26" s="8"/>
      <c r="FU26" s="8"/>
      <c r="FX26" s="8"/>
      <c r="GA26" s="8"/>
      <c r="GC26" s="8"/>
      <c r="GD26" s="8"/>
      <c r="GL26" s="8"/>
      <c r="GM26" s="8"/>
      <c r="GN26" s="8"/>
      <c r="GO26" s="8"/>
      <c r="GQ26" s="8"/>
      <c r="GU26" s="8"/>
      <c r="GV26" s="8"/>
      <c r="HC26" s="8"/>
      <c r="HM26" s="8"/>
      <c r="HN26" s="8"/>
      <c r="HR26" s="8"/>
      <c r="HW26" s="8"/>
      <c r="ID26" s="8"/>
      <c r="IV26" s="8"/>
      <c r="JK26" s="8"/>
      <c r="JL26" s="8"/>
      <c r="JM26" s="8"/>
      <c r="AJU26" s="8"/>
      <c r="AJW26" s="8"/>
      <c r="AJZ26" s="8"/>
    </row>
    <row r="27" spans="38:1218" x14ac:dyDescent="0.3">
      <c r="FJ27" s="8"/>
      <c r="FK27" s="8"/>
      <c r="FL27" s="8"/>
      <c r="FN27" s="8"/>
      <c r="FO27" s="8"/>
      <c r="FQ27" s="8"/>
      <c r="FS27" s="8"/>
      <c r="FT27" s="8"/>
      <c r="FU27" s="8"/>
      <c r="FX27" s="8"/>
      <c r="GA27" s="8"/>
      <c r="GC27" s="8"/>
      <c r="GD27" s="8"/>
      <c r="GL27" s="8"/>
      <c r="GM27" s="8"/>
      <c r="GN27" s="8"/>
      <c r="GO27" s="8"/>
      <c r="GQ27" s="8"/>
      <c r="GU27" s="8"/>
      <c r="GV27" s="8"/>
      <c r="HC27" s="8"/>
      <c r="HM27" s="8"/>
      <c r="HN27" s="8"/>
      <c r="HR27" s="8"/>
      <c r="HW27" s="8"/>
      <c r="ID27" s="8"/>
      <c r="IV27" s="8"/>
      <c r="JK27" s="8"/>
      <c r="JL27" s="8"/>
      <c r="JM27" s="8"/>
      <c r="AJU27" s="8"/>
      <c r="AJW27" s="8"/>
      <c r="AJZ27" s="8"/>
    </row>
    <row r="28" spans="38:1218" x14ac:dyDescent="0.3">
      <c r="FJ28" s="8"/>
      <c r="FK28" s="8"/>
      <c r="FL28" s="8"/>
      <c r="FN28" s="8"/>
      <c r="FO28" s="8"/>
      <c r="FQ28" s="8"/>
      <c r="FS28" s="8"/>
      <c r="FT28" s="8"/>
      <c r="FU28" s="8"/>
      <c r="FX28" s="8"/>
      <c r="GA28" s="8"/>
      <c r="GC28" s="8"/>
      <c r="GD28" s="8"/>
      <c r="GL28" s="8"/>
      <c r="GM28" s="8"/>
      <c r="GN28" s="8"/>
      <c r="GO28" s="8"/>
      <c r="GQ28" s="8"/>
      <c r="GU28" s="8"/>
      <c r="GV28" s="8"/>
      <c r="HC28" s="8"/>
      <c r="HM28" s="8"/>
      <c r="HN28" s="8"/>
      <c r="HR28" s="8"/>
      <c r="HW28" s="8"/>
      <c r="ID28" s="8"/>
      <c r="IV28" s="8"/>
      <c r="JK28" s="8"/>
      <c r="JL28" s="8"/>
      <c r="JM28" s="8"/>
      <c r="AJU28" s="8"/>
      <c r="AJW28" s="8"/>
      <c r="AJZ28" s="8"/>
    </row>
    <row r="29" spans="38:1218" x14ac:dyDescent="0.3">
      <c r="AY29" s="2" t="s">
        <v>1323</v>
      </c>
      <c r="FJ29" s="8"/>
      <c r="FK29" s="8"/>
      <c r="FL29" s="8"/>
      <c r="FN29" s="8"/>
      <c r="FO29" s="8"/>
      <c r="FQ29" s="8"/>
      <c r="FS29" s="8"/>
      <c r="FT29" s="8"/>
      <c r="FU29" s="8"/>
      <c r="FX29" s="8"/>
      <c r="GA29" s="8"/>
      <c r="GC29" s="8"/>
      <c r="GD29" s="8"/>
      <c r="GL29" s="8"/>
      <c r="GM29" s="8"/>
      <c r="GN29" s="8"/>
      <c r="GO29" s="8"/>
      <c r="GQ29" s="8"/>
      <c r="GU29" s="8"/>
      <c r="GV29" s="8"/>
      <c r="HC29" s="8"/>
      <c r="HM29" s="8"/>
      <c r="HN29" s="8"/>
      <c r="HR29" s="8"/>
      <c r="HW29" s="8"/>
      <c r="ID29" s="8"/>
      <c r="IV29" s="8"/>
      <c r="JK29" s="8"/>
      <c r="JL29" s="8"/>
      <c r="JM29" s="8"/>
      <c r="AJU29" s="8"/>
      <c r="AJW29" s="8"/>
      <c r="AJZ29" s="8"/>
    </row>
    <row r="30" spans="38:1218" x14ac:dyDescent="0.3">
      <c r="AO30" s="2" t="s">
        <v>1326</v>
      </c>
      <c r="AU30" s="2" t="s">
        <v>1327</v>
      </c>
      <c r="AW30" s="2" t="s">
        <v>1327</v>
      </c>
      <c r="AX30" s="2" t="s">
        <v>1329</v>
      </c>
      <c r="AY30" s="2" t="s">
        <v>1331</v>
      </c>
      <c r="AZ30" s="2" t="s">
        <v>1333</v>
      </c>
      <c r="FJ30" s="8"/>
      <c r="FK30" s="8"/>
      <c r="FL30" s="8"/>
      <c r="FN30" s="8"/>
      <c r="FO30" s="8"/>
      <c r="FQ30" s="8"/>
      <c r="FS30" s="8"/>
      <c r="FT30" s="8"/>
      <c r="FU30" s="8"/>
      <c r="FX30" s="8"/>
      <c r="GA30" s="8"/>
      <c r="GC30" s="8"/>
      <c r="GD30" s="8"/>
      <c r="GL30" s="8"/>
      <c r="GM30" s="8"/>
      <c r="GN30" s="8"/>
      <c r="GO30" s="8"/>
      <c r="GQ30" s="8"/>
      <c r="GU30" s="8"/>
      <c r="GV30" s="8"/>
      <c r="HC30" s="8"/>
      <c r="HM30" s="8"/>
      <c r="HN30" s="8"/>
      <c r="HR30" s="8"/>
      <c r="HW30" s="8"/>
      <c r="ID30" s="8"/>
      <c r="IV30" s="8"/>
      <c r="JK30" s="8"/>
      <c r="JL30" s="8"/>
      <c r="JM30" s="8"/>
      <c r="AJU30" s="8"/>
      <c r="AJW30" s="8"/>
      <c r="AJZ30" s="8"/>
    </row>
    <row r="31" spans="38:1218" x14ac:dyDescent="0.3">
      <c r="AO31" s="2" t="s">
        <v>1320</v>
      </c>
      <c r="AR31" s="2" t="s">
        <v>1322</v>
      </c>
      <c r="AS31" s="2" t="s">
        <v>1323</v>
      </c>
      <c r="AT31" s="2" t="s">
        <v>1324</v>
      </c>
      <c r="AU31" s="2" t="s">
        <v>1322</v>
      </c>
      <c r="AW31" s="2" t="s">
        <v>1328</v>
      </c>
      <c r="AX31" s="2" t="s">
        <v>1330</v>
      </c>
      <c r="AY31" s="2" t="s">
        <v>1332</v>
      </c>
      <c r="AZ31" s="2" t="s">
        <v>1332</v>
      </c>
      <c r="FJ31" s="8"/>
      <c r="FK31" s="8"/>
      <c r="FL31" s="8"/>
      <c r="FN31" s="8"/>
      <c r="FO31" s="8"/>
      <c r="FQ31" s="8"/>
      <c r="FS31" s="8"/>
      <c r="FT31" s="8"/>
      <c r="FU31" s="8"/>
      <c r="FX31" s="8"/>
      <c r="GA31" s="8"/>
      <c r="GC31" s="8"/>
      <c r="GD31" s="8"/>
      <c r="GL31" s="8"/>
      <c r="GM31" s="8"/>
      <c r="GN31" s="8"/>
      <c r="GO31" s="8"/>
      <c r="GQ31" s="8"/>
      <c r="GU31" s="8"/>
      <c r="GV31" s="8"/>
      <c r="HC31" s="8"/>
      <c r="HM31" s="8"/>
      <c r="HN31" s="8"/>
      <c r="HR31" s="8"/>
      <c r="HW31" s="8"/>
      <c r="ID31" s="8"/>
      <c r="IV31" s="8"/>
      <c r="JK31" s="8"/>
      <c r="JL31" s="8"/>
      <c r="JM31" s="8"/>
      <c r="AJU31" s="8"/>
      <c r="AJW31" s="8"/>
      <c r="AJZ31" s="8"/>
    </row>
    <row r="32" spans="38:1218" x14ac:dyDescent="0.3">
      <c r="AL32" s="2" t="s">
        <v>1316</v>
      </c>
      <c r="AN32" s="2" t="s">
        <v>1318</v>
      </c>
      <c r="AO32" s="2" t="s">
        <v>1319</v>
      </c>
      <c r="AP32" s="2" t="s">
        <v>1321</v>
      </c>
      <c r="AQ32" s="2" t="s">
        <v>1325</v>
      </c>
      <c r="AS32" s="2" t="s">
        <v>1316</v>
      </c>
      <c r="AU32" s="2" t="s">
        <v>1320</v>
      </c>
      <c r="AV32" s="2" t="s">
        <v>1318</v>
      </c>
      <c r="AW32" s="2" t="s">
        <v>1320</v>
      </c>
      <c r="BF32" s="2">
        <v>7</v>
      </c>
      <c r="FJ32" s="8"/>
      <c r="FK32" s="8"/>
      <c r="FL32" s="8"/>
      <c r="FN32" s="8"/>
      <c r="FO32" s="8"/>
      <c r="FQ32" s="8"/>
      <c r="FS32" s="8"/>
      <c r="FT32" s="8"/>
      <c r="FU32" s="8"/>
      <c r="FX32" s="8"/>
      <c r="GA32" s="8"/>
      <c r="GC32" s="8"/>
      <c r="GD32" s="8"/>
      <c r="GL32" s="8"/>
      <c r="GM32" s="8"/>
      <c r="GN32" s="8"/>
      <c r="GO32" s="8"/>
      <c r="GQ32" s="8"/>
      <c r="GU32" s="8"/>
      <c r="GV32" s="8"/>
      <c r="HC32" s="8"/>
      <c r="HM32" s="8"/>
      <c r="HN32" s="8"/>
      <c r="HR32" s="8"/>
      <c r="HW32" s="8"/>
      <c r="ID32" s="8"/>
      <c r="IV32" s="8"/>
      <c r="JK32" s="8"/>
      <c r="JL32" s="8"/>
      <c r="JM32" s="8"/>
      <c r="AJU32" s="8"/>
      <c r="AJW32" s="8"/>
      <c r="AJZ32" s="8"/>
    </row>
    <row r="33" spans="35:962 1213:1214" x14ac:dyDescent="0.3">
      <c r="AI33" s="2">
        <v>5791.9</v>
      </c>
      <c r="AJ33" s="2" t="s">
        <v>1316</v>
      </c>
      <c r="AK33" s="2">
        <v>2022</v>
      </c>
      <c r="AL33" s="2">
        <v>5791.9</v>
      </c>
      <c r="AM33" s="2">
        <v>6111315</v>
      </c>
      <c r="AN33" s="2">
        <f>AL33*3.6*1000/AM33</f>
        <v>3.4118418049143271</v>
      </c>
      <c r="AO33" s="2">
        <v>82.7</v>
      </c>
      <c r="AP33" s="2">
        <v>12.4</v>
      </c>
      <c r="AQ33" s="2">
        <f>AO33+AP33</f>
        <v>95.100000000000009</v>
      </c>
      <c r="AR33" s="2">
        <f t="shared" ref="AR33:AR40" si="12">AL33</f>
        <v>5791.9</v>
      </c>
      <c r="AS33" s="2">
        <v>4078.1</v>
      </c>
      <c r="AT33" s="2">
        <f>AR33/(AR33+AS33)</f>
        <v>0.58681864235055725</v>
      </c>
      <c r="AU33" s="2">
        <f>AQ33*AT33</f>
        <v>55.806452887538001</v>
      </c>
      <c r="AV33" s="5">
        <f>AU33*1000000/AM33</f>
        <v>9.1316603525653637</v>
      </c>
      <c r="AW33" s="2">
        <f t="shared" ref="AW33:AW40" si="13">AQ33-AU33</f>
        <v>39.293547112462008</v>
      </c>
      <c r="AX33" s="2">
        <v>74.59</v>
      </c>
      <c r="AY33" s="2">
        <f>AW33*1000/AX33</f>
        <v>526.79376742810041</v>
      </c>
      <c r="AZ33" s="2">
        <f>AS33*3.6/AX33</f>
        <v>196.82477543906688</v>
      </c>
      <c r="BE33" s="2">
        <v>2022</v>
      </c>
      <c r="BF33" s="2">
        <v>1614</v>
      </c>
      <c r="BG33" s="2">
        <f>BF33*$BF$32</f>
        <v>11298</v>
      </c>
      <c r="FJ33" s="8"/>
      <c r="FK33" s="8"/>
      <c r="FL33" s="8"/>
      <c r="FN33" s="8"/>
      <c r="FO33" s="8"/>
      <c r="FQ33" s="8"/>
      <c r="FS33" s="8"/>
      <c r="FT33" s="8"/>
      <c r="FU33" s="8"/>
      <c r="FX33" s="8"/>
      <c r="GA33" s="8"/>
      <c r="GC33" s="8"/>
      <c r="GD33" s="8"/>
      <c r="GL33" s="8"/>
      <c r="GM33" s="8"/>
      <c r="GN33" s="8"/>
      <c r="GO33" s="8"/>
      <c r="GQ33" s="8"/>
      <c r="GU33" s="8"/>
      <c r="GV33" s="8"/>
      <c r="HC33" s="8"/>
      <c r="HM33" s="8"/>
      <c r="HN33" s="8"/>
      <c r="HR33" s="8"/>
      <c r="HW33" s="8"/>
      <c r="ID33" s="8"/>
      <c r="IV33" s="8"/>
      <c r="JK33" s="8"/>
      <c r="JL33" s="8"/>
      <c r="JM33" s="8"/>
      <c r="AJU33" s="8"/>
      <c r="AJW33" s="8"/>
      <c r="AJZ33" s="8"/>
    </row>
    <row r="34" spans="35:962 1213:1214" x14ac:dyDescent="0.3">
      <c r="AI34" s="2">
        <v>3.6</v>
      </c>
      <c r="AJ34" s="2" t="s">
        <v>1317</v>
      </c>
      <c r="AK34" s="2">
        <v>2021</v>
      </c>
      <c r="AL34" s="2">
        <v>6007.9</v>
      </c>
      <c r="AM34" s="2">
        <v>6154444</v>
      </c>
      <c r="AN34" s="2">
        <f t="shared" ref="AN34:AN40" si="14">AL34*3.6*1000/AM34</f>
        <v>3.5142800876894809</v>
      </c>
      <c r="AO34" s="2">
        <v>82.5</v>
      </c>
      <c r="AP34" s="2">
        <v>22</v>
      </c>
      <c r="AQ34" s="2">
        <f t="shared" ref="AQ34:AQ40" si="15">AO34+AP34</f>
        <v>104.5</v>
      </c>
      <c r="AR34" s="2">
        <f t="shared" si="12"/>
        <v>6007.9</v>
      </c>
      <c r="AS34" s="2">
        <v>3970.2</v>
      </c>
      <c r="AT34" s="2">
        <f t="shared" ref="AT34:AT40" si="16">AR34/(AR34+AS34)</f>
        <v>0.60210861787314218</v>
      </c>
      <c r="AU34" s="2">
        <f t="shared" ref="AU34:AU40" si="17">AQ34*AT34</f>
        <v>62.920350567743355</v>
      </c>
      <c r="AV34" s="5">
        <f t="shared" ref="AV34:AV40" si="18">AU34*1000000/AM34</f>
        <v>10.223563748040172</v>
      </c>
      <c r="AW34" s="2">
        <f t="shared" si="13"/>
        <v>41.579649432256645</v>
      </c>
      <c r="AX34" s="2">
        <v>88.61</v>
      </c>
      <c r="AY34" s="2">
        <f t="shared" ref="AY34:AY40" si="19">AW34*1000/AX34</f>
        <v>469.24330698856386</v>
      </c>
      <c r="AZ34" s="2">
        <f t="shared" ref="AZ34:AZ40" si="20">AS34*3.6/AX34</f>
        <v>161.29917616521837</v>
      </c>
      <c r="BE34" s="2">
        <v>2021</v>
      </c>
      <c r="BF34" s="2">
        <v>2909</v>
      </c>
      <c r="BG34" s="2">
        <f t="shared" ref="BG34:BG40" si="21">BF34*$BF$32</f>
        <v>20363</v>
      </c>
      <c r="FJ34" s="8"/>
      <c r="FK34" s="8"/>
      <c r="FL34" s="8"/>
      <c r="FN34" s="8"/>
      <c r="FO34" s="8"/>
      <c r="FQ34" s="8"/>
      <c r="FS34" s="8"/>
      <c r="FT34" s="8"/>
      <c r="FU34" s="8"/>
      <c r="FX34" s="8"/>
      <c r="GA34" s="8"/>
      <c r="GC34" s="8"/>
      <c r="GD34" s="8"/>
      <c r="GL34" s="8"/>
      <c r="GM34" s="8"/>
      <c r="GN34" s="8"/>
      <c r="GO34" s="8"/>
      <c r="GQ34" s="8"/>
      <c r="GU34" s="8"/>
      <c r="GV34" s="8"/>
      <c r="HC34" s="8"/>
      <c r="HM34" s="8"/>
      <c r="HN34" s="8"/>
      <c r="HR34" s="8"/>
      <c r="HW34" s="8"/>
      <c r="ID34" s="8"/>
      <c r="IV34" s="8"/>
      <c r="JK34" s="8"/>
      <c r="JL34" s="8"/>
      <c r="JM34" s="8"/>
      <c r="AJU34" s="8"/>
      <c r="AJW34" s="8"/>
      <c r="AJZ34" s="8"/>
    </row>
    <row r="35" spans="35:962 1213:1214" x14ac:dyDescent="0.3">
      <c r="AI35" s="2">
        <v>1000000</v>
      </c>
      <c r="AK35" s="2">
        <v>2020</v>
      </c>
      <c r="AL35" s="2">
        <v>5880.4</v>
      </c>
      <c r="AM35" s="2">
        <v>6111315</v>
      </c>
      <c r="AN35" s="2">
        <f t="shared" si="14"/>
        <v>3.4639746110288865</v>
      </c>
      <c r="AO35" s="2">
        <v>83.4</v>
      </c>
      <c r="AP35" s="2">
        <v>25.9</v>
      </c>
      <c r="AQ35" s="2">
        <f t="shared" si="15"/>
        <v>109.30000000000001</v>
      </c>
      <c r="AR35" s="2">
        <f t="shared" si="12"/>
        <v>5880.4</v>
      </c>
      <c r="AS35" s="2">
        <v>3893.1</v>
      </c>
      <c r="AT35" s="2">
        <f t="shared" si="16"/>
        <v>0.60166777510615432</v>
      </c>
      <c r="AU35" s="2">
        <f t="shared" si="17"/>
        <v>65.762287819102681</v>
      </c>
      <c r="AV35" s="5">
        <f t="shared" si="18"/>
        <v>10.76074262562193</v>
      </c>
      <c r="AW35" s="2">
        <f t="shared" si="13"/>
        <v>43.53771218089733</v>
      </c>
      <c r="AX35" s="2">
        <v>84.3</v>
      </c>
      <c r="AY35" s="2">
        <f t="shared" si="19"/>
        <v>516.46159170696717</v>
      </c>
      <c r="AZ35" s="2">
        <f t="shared" si="20"/>
        <v>166.25338078291816</v>
      </c>
      <c r="BE35" s="2">
        <v>2020</v>
      </c>
      <c r="BF35" s="2">
        <v>4204</v>
      </c>
      <c r="BG35" s="2">
        <f t="shared" si="21"/>
        <v>29428</v>
      </c>
      <c r="FJ35" s="8"/>
      <c r="FK35" s="8"/>
      <c r="FL35" s="8"/>
      <c r="FN35" s="8"/>
      <c r="FO35" s="8"/>
      <c r="FQ35" s="8"/>
      <c r="FS35" s="8"/>
      <c r="FT35" s="8"/>
      <c r="FU35" s="8"/>
      <c r="FX35" s="8"/>
      <c r="GA35" s="8"/>
      <c r="GC35" s="8"/>
      <c r="GD35" s="8"/>
      <c r="GL35" s="8"/>
      <c r="GM35" s="8"/>
      <c r="GN35" s="8"/>
      <c r="GO35" s="8"/>
      <c r="GQ35" s="8"/>
      <c r="GU35" s="8"/>
      <c r="GV35" s="8"/>
      <c r="HC35" s="8"/>
      <c r="HM35" s="8"/>
      <c r="HN35" s="8"/>
      <c r="HR35" s="8"/>
      <c r="HW35" s="8"/>
      <c r="ID35" s="8"/>
      <c r="IV35" s="8"/>
      <c r="JK35" s="8"/>
      <c r="JL35" s="8"/>
      <c r="JM35" s="8"/>
      <c r="AJU35" s="8"/>
      <c r="AJW35" s="8"/>
      <c r="AJZ35" s="8"/>
    </row>
    <row r="36" spans="35:962 1213:1214" x14ac:dyDescent="0.3">
      <c r="AK36" s="2">
        <v>2019</v>
      </c>
      <c r="AL36" s="2">
        <v>5523.7</v>
      </c>
      <c r="AM36" s="2">
        <v>6111315</v>
      </c>
      <c r="AN36" s="2">
        <f t="shared" si="14"/>
        <v>3.2538528941807123</v>
      </c>
      <c r="AO36" s="2">
        <v>82.7</v>
      </c>
      <c r="AP36" s="2">
        <v>25.7</v>
      </c>
      <c r="AQ36" s="2">
        <f t="shared" si="15"/>
        <v>108.4</v>
      </c>
      <c r="AR36" s="2">
        <f t="shared" si="12"/>
        <v>5523.7</v>
      </c>
      <c r="AS36" s="2">
        <v>4305.1000000000004</v>
      </c>
      <c r="AT36" s="2">
        <f t="shared" si="16"/>
        <v>0.5619912909002116</v>
      </c>
      <c r="AU36" s="2">
        <f t="shared" si="17"/>
        <v>60.919855933582944</v>
      </c>
      <c r="AV36" s="5">
        <f t="shared" si="18"/>
        <v>9.9683711171135752</v>
      </c>
      <c r="AW36" s="2">
        <f t="shared" si="13"/>
        <v>47.480144066417061</v>
      </c>
      <c r="AX36" s="2">
        <v>89.02</v>
      </c>
      <c r="AY36" s="2">
        <f t="shared" si="19"/>
        <v>533.36490750861674</v>
      </c>
      <c r="AZ36" s="2">
        <f t="shared" si="20"/>
        <v>174.09975286452487</v>
      </c>
      <c r="BE36" s="2">
        <v>2019</v>
      </c>
      <c r="BF36" s="2">
        <v>5209</v>
      </c>
      <c r="BG36" s="2">
        <f t="shared" si="21"/>
        <v>36463</v>
      </c>
      <c r="FJ36" s="8"/>
      <c r="FK36" s="8"/>
      <c r="FL36" s="8"/>
      <c r="FN36" s="8"/>
      <c r="FO36" s="8"/>
      <c r="FQ36" s="8"/>
      <c r="FS36" s="8"/>
      <c r="FT36" s="8"/>
      <c r="FU36" s="8"/>
      <c r="FX36" s="8"/>
      <c r="GA36" s="8"/>
      <c r="GC36" s="8"/>
      <c r="GD36" s="8"/>
      <c r="GL36" s="8"/>
      <c r="GM36" s="8"/>
      <c r="GN36" s="8"/>
      <c r="GO36" s="8"/>
      <c r="GQ36" s="8"/>
      <c r="GU36" s="8"/>
      <c r="GV36" s="8"/>
      <c r="HC36" s="8"/>
      <c r="HM36" s="8"/>
      <c r="HN36" s="8"/>
      <c r="HR36" s="8"/>
      <c r="HW36" s="8"/>
      <c r="ID36" s="8"/>
      <c r="IV36" s="8"/>
      <c r="JK36" s="8"/>
      <c r="JL36" s="8"/>
      <c r="JM36" s="8"/>
      <c r="AJU36" s="8"/>
      <c r="AJW36" s="8"/>
      <c r="AJZ36" s="8"/>
    </row>
    <row r="37" spans="35:962 1213:1214" x14ac:dyDescent="0.3">
      <c r="AI37" s="2">
        <f>AI33*AI35</f>
        <v>5791900000</v>
      </c>
      <c r="AJ37" s="2">
        <v>6111315</v>
      </c>
      <c r="AK37" s="2">
        <v>2018</v>
      </c>
      <c r="AL37" s="2">
        <v>5230.8</v>
      </c>
      <c r="AM37" s="2">
        <v>6111315</v>
      </c>
      <c r="AN37" s="2">
        <f t="shared" si="14"/>
        <v>3.0813139234354634</v>
      </c>
      <c r="AO37" s="2">
        <v>110.1</v>
      </c>
      <c r="AP37" s="2">
        <v>25.2</v>
      </c>
      <c r="AQ37" s="2">
        <f t="shared" si="15"/>
        <v>135.29999999999998</v>
      </c>
      <c r="AR37" s="2">
        <f t="shared" si="12"/>
        <v>5230.8</v>
      </c>
      <c r="AS37" s="2">
        <v>4066.4</v>
      </c>
      <c r="AT37" s="2">
        <f t="shared" si="16"/>
        <v>0.56262100417329941</v>
      </c>
      <c r="AU37" s="2">
        <f t="shared" si="17"/>
        <v>76.1226218646474</v>
      </c>
      <c r="AV37" s="5">
        <f t="shared" si="18"/>
        <v>12.456013454493412</v>
      </c>
      <c r="AW37" s="2">
        <f t="shared" si="13"/>
        <v>59.177378135352583</v>
      </c>
      <c r="AX37" s="2">
        <v>88.9</v>
      </c>
      <c r="AY37" s="2">
        <f t="shared" si="19"/>
        <v>665.66229623568711</v>
      </c>
      <c r="AZ37" s="2">
        <f t="shared" si="20"/>
        <v>164.66861642294714</v>
      </c>
      <c r="BE37" s="2">
        <v>2018</v>
      </c>
      <c r="BF37" s="2">
        <v>4864</v>
      </c>
      <c r="BG37" s="2">
        <f t="shared" si="21"/>
        <v>34048</v>
      </c>
      <c r="FJ37" s="8"/>
      <c r="FK37" s="8"/>
      <c r="FL37" s="8"/>
      <c r="FN37" s="8"/>
      <c r="FO37" s="8"/>
      <c r="FQ37" s="8"/>
      <c r="FS37" s="8"/>
      <c r="FT37" s="8"/>
      <c r="FU37" s="8"/>
      <c r="FX37" s="8"/>
      <c r="GA37" s="8"/>
      <c r="GC37" s="8"/>
      <c r="GD37" s="8"/>
      <c r="GL37" s="8"/>
      <c r="GM37" s="8"/>
      <c r="GN37" s="8"/>
      <c r="GO37" s="8"/>
      <c r="GQ37" s="8"/>
      <c r="GU37" s="8"/>
      <c r="GV37" s="8"/>
      <c r="HC37" s="8"/>
      <c r="HM37" s="8"/>
      <c r="HN37" s="8"/>
      <c r="HR37" s="8"/>
      <c r="HW37" s="8"/>
      <c r="ID37" s="8"/>
      <c r="IV37" s="8"/>
      <c r="JK37" s="8"/>
      <c r="JL37" s="8"/>
      <c r="JM37" s="8"/>
      <c r="AJU37" s="8"/>
      <c r="AJW37" s="8"/>
      <c r="AJZ37" s="8"/>
    </row>
    <row r="38" spans="35:962 1213:1214" x14ac:dyDescent="0.3">
      <c r="AI38" s="2">
        <f>AI37*AI34</f>
        <v>20850840000</v>
      </c>
      <c r="AK38" s="2">
        <v>2017</v>
      </c>
      <c r="AL38" s="2">
        <v>5063.7</v>
      </c>
      <c r="AM38" s="2">
        <v>6111315</v>
      </c>
      <c r="AN38" s="2">
        <f t="shared" si="14"/>
        <v>2.9828801166361085</v>
      </c>
      <c r="AO38" s="2">
        <v>112.7</v>
      </c>
      <c r="AP38" s="2">
        <v>21.8</v>
      </c>
      <c r="AQ38" s="2">
        <f t="shared" si="15"/>
        <v>134.5</v>
      </c>
      <c r="AR38" s="2">
        <f t="shared" si="12"/>
        <v>5063.7</v>
      </c>
      <c r="AS38" s="2">
        <v>3834.6</v>
      </c>
      <c r="AT38" s="2">
        <f t="shared" si="16"/>
        <v>0.56906375375071649</v>
      </c>
      <c r="AU38" s="2">
        <f t="shared" si="17"/>
        <v>76.539074879471372</v>
      </c>
      <c r="AV38" s="5">
        <f t="shared" si="18"/>
        <v>12.524158037913505</v>
      </c>
      <c r="AW38" s="2">
        <f t="shared" si="13"/>
        <v>57.960925120528628</v>
      </c>
      <c r="AX38" s="2">
        <v>94.38</v>
      </c>
      <c r="AY38" s="2">
        <f t="shared" si="19"/>
        <v>614.12296165001726</v>
      </c>
      <c r="AZ38" s="2">
        <f t="shared" si="20"/>
        <v>146.26573426573427</v>
      </c>
      <c r="BE38" s="2">
        <v>2017</v>
      </c>
      <c r="BF38" s="2">
        <v>5428</v>
      </c>
      <c r="BG38" s="2">
        <f t="shared" si="21"/>
        <v>37996</v>
      </c>
      <c r="FJ38" s="8"/>
      <c r="FK38" s="8"/>
      <c r="FL38" s="8"/>
      <c r="FN38" s="8"/>
      <c r="FO38" s="8"/>
      <c r="FQ38" s="8"/>
      <c r="FS38" s="8"/>
      <c r="FT38" s="8"/>
      <c r="FU38" s="8"/>
      <c r="FX38" s="8"/>
      <c r="GA38" s="8"/>
      <c r="GC38" s="8"/>
      <c r="GD38" s="8"/>
      <c r="GL38" s="8"/>
      <c r="GM38" s="8"/>
      <c r="GN38" s="8"/>
      <c r="GO38" s="8"/>
      <c r="GQ38" s="8"/>
      <c r="GU38" s="8"/>
      <c r="GV38" s="8"/>
      <c r="HC38" s="8"/>
      <c r="HM38" s="8"/>
      <c r="HN38" s="8"/>
      <c r="HR38" s="8"/>
      <c r="HW38" s="8"/>
      <c r="ID38" s="8"/>
      <c r="IV38" s="8"/>
      <c r="JK38" s="8"/>
      <c r="JL38" s="8"/>
      <c r="JM38" s="8"/>
      <c r="AJU38" s="8"/>
      <c r="AJW38" s="8"/>
      <c r="AJZ38" s="8"/>
    </row>
    <row r="39" spans="35:962 1213:1214" x14ac:dyDescent="0.3">
      <c r="AI39" s="2">
        <f>AI38/AJ37</f>
        <v>3411.841804914327</v>
      </c>
      <c r="AK39" s="2">
        <v>2016</v>
      </c>
      <c r="AL39" s="2">
        <v>4810.6000000000004</v>
      </c>
      <c r="AM39" s="2">
        <v>6111315</v>
      </c>
      <c r="AN39" s="2">
        <f t="shared" si="14"/>
        <v>2.8337861818610239</v>
      </c>
      <c r="AO39" s="2">
        <v>118.5</v>
      </c>
      <c r="AP39" s="2">
        <v>20</v>
      </c>
      <c r="AQ39" s="2">
        <f t="shared" si="15"/>
        <v>138.5</v>
      </c>
      <c r="AR39" s="2">
        <f t="shared" si="12"/>
        <v>4810.6000000000004</v>
      </c>
      <c r="AS39" s="2">
        <v>3535.5</v>
      </c>
      <c r="AT39" s="2">
        <f t="shared" si="16"/>
        <v>0.57638897209475082</v>
      </c>
      <c r="AU39" s="2">
        <f t="shared" si="17"/>
        <v>79.829872635122982</v>
      </c>
      <c r="AV39" s="5">
        <f t="shared" si="18"/>
        <v>13.062634250586491</v>
      </c>
      <c r="AW39" s="2">
        <f t="shared" si="13"/>
        <v>58.670127364877018</v>
      </c>
      <c r="AX39" s="2">
        <v>88.01</v>
      </c>
      <c r="AY39" s="2">
        <f t="shared" si="19"/>
        <v>666.63023934640398</v>
      </c>
      <c r="AZ39" s="2">
        <f t="shared" si="20"/>
        <v>144.61765708442223</v>
      </c>
      <c r="BE39" s="2">
        <v>2016</v>
      </c>
      <c r="BF39" s="2">
        <v>5276</v>
      </c>
      <c r="BG39" s="2">
        <f t="shared" si="21"/>
        <v>36932</v>
      </c>
      <c r="FJ39" s="8"/>
      <c r="FK39" s="8"/>
      <c r="FL39" s="8"/>
      <c r="FN39" s="8"/>
      <c r="FO39" s="8"/>
      <c r="FQ39" s="8"/>
      <c r="FS39" s="8"/>
      <c r="FT39" s="8"/>
      <c r="FU39" s="8"/>
      <c r="FX39" s="8"/>
      <c r="GA39" s="8"/>
      <c r="GC39" s="8"/>
      <c r="GD39" s="8"/>
      <c r="GL39" s="8"/>
      <c r="GM39" s="8"/>
      <c r="GN39" s="8"/>
      <c r="GO39" s="8"/>
      <c r="GQ39" s="8"/>
      <c r="GU39" s="8"/>
      <c r="GV39" s="8"/>
      <c r="HC39" s="8"/>
      <c r="HM39" s="8"/>
      <c r="HN39" s="8"/>
      <c r="HR39" s="8"/>
      <c r="HW39" s="8"/>
      <c r="ID39" s="8"/>
      <c r="IV39" s="8"/>
      <c r="JK39" s="8"/>
      <c r="JL39" s="8"/>
      <c r="JM39" s="8"/>
      <c r="AJU39" s="8"/>
      <c r="AJW39" s="8"/>
      <c r="AJZ39" s="8"/>
    </row>
    <row r="40" spans="35:962 1213:1214" x14ac:dyDescent="0.3">
      <c r="AK40" s="2">
        <v>2015</v>
      </c>
      <c r="AL40" s="2">
        <v>4444.7</v>
      </c>
      <c r="AM40" s="2">
        <v>6111315</v>
      </c>
      <c r="AN40" s="2">
        <f t="shared" si="14"/>
        <v>2.6182450094619569</v>
      </c>
      <c r="AO40" s="2">
        <v>75.5</v>
      </c>
      <c r="AP40" s="2">
        <v>9.8000000000000007</v>
      </c>
      <c r="AQ40" s="2">
        <f t="shared" si="15"/>
        <v>85.3</v>
      </c>
      <c r="AR40" s="2">
        <f t="shared" si="12"/>
        <v>4444.7</v>
      </c>
      <c r="AS40" s="2">
        <v>2985.2</v>
      </c>
      <c r="AT40" s="2">
        <f t="shared" si="16"/>
        <v>0.59821801100956939</v>
      </c>
      <c r="AU40" s="2">
        <f t="shared" si="17"/>
        <v>51.027996339116271</v>
      </c>
      <c r="AV40" s="5">
        <f t="shared" si="18"/>
        <v>8.3497571863201738</v>
      </c>
      <c r="AW40" s="2">
        <f t="shared" si="13"/>
        <v>34.272003660883726</v>
      </c>
      <c r="AX40" s="2">
        <v>85.14</v>
      </c>
      <c r="AY40" s="2">
        <f t="shared" si="19"/>
        <v>402.5370408842345</v>
      </c>
      <c r="AZ40" s="2">
        <f t="shared" si="20"/>
        <v>126.22410147991542</v>
      </c>
      <c r="BE40" s="2">
        <v>2015</v>
      </c>
      <c r="BF40" s="2">
        <v>4216</v>
      </c>
      <c r="BG40" s="2">
        <f t="shared" si="21"/>
        <v>29512</v>
      </c>
      <c r="FJ40" s="8"/>
      <c r="FK40" s="8"/>
      <c r="FL40" s="8"/>
      <c r="FN40" s="8"/>
      <c r="FO40" s="8"/>
      <c r="FQ40" s="8"/>
      <c r="FS40" s="8"/>
      <c r="FT40" s="8"/>
      <c r="FU40" s="8"/>
      <c r="FX40" s="8"/>
      <c r="GA40" s="8"/>
      <c r="GC40" s="8"/>
      <c r="GD40" s="8"/>
      <c r="GL40" s="8"/>
      <c r="GM40" s="8"/>
      <c r="GN40" s="8"/>
      <c r="GO40" s="8"/>
      <c r="GQ40" s="8"/>
      <c r="GU40" s="8"/>
      <c r="GV40" s="8"/>
      <c r="HC40" s="8"/>
      <c r="HM40" s="8"/>
      <c r="HN40" s="8"/>
      <c r="HR40" s="8"/>
      <c r="HW40" s="8"/>
      <c r="ID40" s="8"/>
      <c r="IV40" s="8"/>
      <c r="JK40" s="8"/>
      <c r="JL40" s="8"/>
      <c r="JM40" s="8"/>
      <c r="AJU40" s="8"/>
      <c r="AJW40" s="8"/>
      <c r="AJZ40" s="8"/>
    </row>
    <row r="41" spans="35:962 1213:1214" x14ac:dyDescent="0.3">
      <c r="AL41" s="2" t="s">
        <v>1337</v>
      </c>
      <c r="AO41" s="2" t="s">
        <v>1308</v>
      </c>
      <c r="AQ41" s="2" t="s">
        <v>1339</v>
      </c>
      <c r="FJ41" s="8"/>
      <c r="FK41" s="8"/>
      <c r="FL41" s="8"/>
      <c r="FN41" s="8"/>
      <c r="FO41" s="8"/>
      <c r="FQ41" s="8"/>
      <c r="FS41" s="8"/>
      <c r="FT41" s="8"/>
      <c r="FU41" s="8"/>
      <c r="FX41" s="8"/>
      <c r="GA41" s="8"/>
      <c r="GC41" s="8"/>
      <c r="GD41" s="8"/>
      <c r="GL41" s="8"/>
      <c r="GM41" s="8"/>
      <c r="GN41" s="8"/>
      <c r="GO41" s="8"/>
      <c r="GQ41" s="8"/>
      <c r="GU41" s="8"/>
      <c r="GV41" s="8"/>
      <c r="HC41" s="8"/>
      <c r="HM41" s="8"/>
      <c r="HN41" s="8"/>
      <c r="HR41" s="8"/>
      <c r="HW41" s="8"/>
      <c r="ID41" s="8"/>
      <c r="IV41" s="8"/>
      <c r="JK41" s="8"/>
      <c r="JL41" s="8"/>
      <c r="JM41" s="8"/>
      <c r="AJU41" s="8"/>
      <c r="AJW41" s="8"/>
      <c r="AJZ41" s="8"/>
    </row>
    <row r="42" spans="35:962 1213:1214" ht="30" customHeight="1" x14ac:dyDescent="0.3">
      <c r="AL42" s="16" t="s">
        <v>1334</v>
      </c>
      <c r="AM42" s="2" t="s">
        <v>1336</v>
      </c>
      <c r="AN42" s="2" t="s">
        <v>1335</v>
      </c>
      <c r="AO42" s="2" t="s">
        <v>1338</v>
      </c>
      <c r="AP42" s="2" t="s">
        <v>1341</v>
      </c>
      <c r="AQ42" s="2" t="s">
        <v>1340</v>
      </c>
      <c r="AR42" s="2" t="s">
        <v>1341</v>
      </c>
    </row>
    <row r="43" spans="35:962 1213:1214" x14ac:dyDescent="0.3">
      <c r="AK43" s="2">
        <v>2022</v>
      </c>
      <c r="AL43" s="2">
        <v>324</v>
      </c>
      <c r="AM43" s="2">
        <v>58.55</v>
      </c>
      <c r="AN43" s="2">
        <f>AM43*1000/AL43</f>
        <v>180.70987654320987</v>
      </c>
      <c r="AO43" s="2">
        <v>460</v>
      </c>
      <c r="AP43" s="17">
        <f>AO43*1000/AL43</f>
        <v>1419.7530864197531</v>
      </c>
      <c r="AQ43" s="2">
        <v>337</v>
      </c>
      <c r="AR43" s="2">
        <f>AQ43*1000/AL43</f>
        <v>1040.1234567901236</v>
      </c>
    </row>
    <row r="44" spans="35:962 1213:1214" x14ac:dyDescent="0.3">
      <c r="AK44" s="2">
        <v>2021</v>
      </c>
      <c r="AL44" s="2">
        <v>198.5</v>
      </c>
      <c r="AM44" s="2">
        <v>24.94</v>
      </c>
      <c r="AN44" s="2">
        <f t="shared" ref="AN44:AN50" si="22">AM44*1000/AL44</f>
        <v>125.64231738035265</v>
      </c>
      <c r="AO44" s="2">
        <v>105.4</v>
      </c>
      <c r="AP44" s="17">
        <f t="shared" ref="AP44:AP50" si="23">AO44*1000/AL44</f>
        <v>530.98236775818634</v>
      </c>
      <c r="AQ44" s="2">
        <v>157</v>
      </c>
      <c r="AR44" s="2">
        <f t="shared" ref="AR44:AR50" si="24">AQ44*1000/AL44</f>
        <v>790.9319899244332</v>
      </c>
    </row>
    <row r="45" spans="35:962 1213:1214" x14ac:dyDescent="0.3">
      <c r="AK45" s="2">
        <v>2020</v>
      </c>
      <c r="AL45" s="2">
        <v>185.4</v>
      </c>
      <c r="AM45" s="2">
        <v>15.43</v>
      </c>
      <c r="AN45" s="2">
        <f t="shared" si="22"/>
        <v>83.22545846817691</v>
      </c>
      <c r="AO45" s="2">
        <v>104</v>
      </c>
      <c r="AP45" s="17">
        <f t="shared" si="23"/>
        <v>560.94929881337646</v>
      </c>
      <c r="AQ45" s="2">
        <v>138</v>
      </c>
      <c r="AR45" s="2">
        <f t="shared" si="24"/>
        <v>744.33656957928804</v>
      </c>
    </row>
    <row r="46" spans="35:962 1213:1214" x14ac:dyDescent="0.3">
      <c r="AK46" s="2">
        <v>2019</v>
      </c>
      <c r="AL46" s="2">
        <v>178.7</v>
      </c>
      <c r="AM46" s="2">
        <v>16.170000000000002</v>
      </c>
      <c r="AN46" s="2">
        <f t="shared" si="22"/>
        <v>90.486849468382786</v>
      </c>
      <c r="AO46" s="2">
        <v>104</v>
      </c>
      <c r="AP46" s="17">
        <f t="shared" si="23"/>
        <v>581.98097369893685</v>
      </c>
      <c r="AQ46" s="2">
        <v>129</v>
      </c>
      <c r="AR46" s="2">
        <f t="shared" si="24"/>
        <v>721.88024622271973</v>
      </c>
      <c r="ATQ46" s="2">
        <v>2022</v>
      </c>
    </row>
    <row r="47" spans="35:962 1213:1214" x14ac:dyDescent="0.3">
      <c r="AK47" s="2">
        <v>2018</v>
      </c>
      <c r="AL47" s="2">
        <v>162</v>
      </c>
      <c r="AM47" s="2">
        <v>17.850000000000001</v>
      </c>
      <c r="AN47" s="2">
        <f t="shared" si="22"/>
        <v>110.18518518518519</v>
      </c>
      <c r="AO47" s="2">
        <v>123</v>
      </c>
      <c r="AP47" s="17">
        <f t="shared" si="23"/>
        <v>759.25925925925924</v>
      </c>
      <c r="AQ47" s="2">
        <v>137</v>
      </c>
      <c r="AR47" s="2">
        <f t="shared" si="24"/>
        <v>845.67901234567898</v>
      </c>
      <c r="ATQ47" s="2">
        <v>2021</v>
      </c>
      <c r="ATR47" s="2">
        <v>22.16</v>
      </c>
    </row>
    <row r="48" spans="35:962 1213:1214" x14ac:dyDescent="0.3">
      <c r="AK48" s="2">
        <v>2017</v>
      </c>
      <c r="AL48" s="2">
        <v>152</v>
      </c>
      <c r="AM48" s="2">
        <v>18.93</v>
      </c>
      <c r="AN48" s="2">
        <f t="shared" si="22"/>
        <v>124.53947368421052</v>
      </c>
      <c r="AO48" s="2">
        <v>95</v>
      </c>
      <c r="AP48" s="17">
        <f t="shared" si="23"/>
        <v>625</v>
      </c>
      <c r="AQ48" s="2">
        <v>118</v>
      </c>
      <c r="AR48" s="2">
        <f t="shared" si="24"/>
        <v>776.31578947368416</v>
      </c>
      <c r="QU48" s="2" t="s">
        <v>1303</v>
      </c>
      <c r="QV48" s="2">
        <v>2022</v>
      </c>
      <c r="ATQ48" s="2">
        <v>2020</v>
      </c>
      <c r="ATR48" s="2">
        <v>21.92</v>
      </c>
    </row>
    <row r="49" spans="37:473 1213:1214" x14ac:dyDescent="0.3">
      <c r="AK49" s="2">
        <v>2016</v>
      </c>
      <c r="AL49" s="2">
        <v>146</v>
      </c>
      <c r="AM49" s="2">
        <v>11.87</v>
      </c>
      <c r="AN49" s="2">
        <f t="shared" si="22"/>
        <v>81.301369863013704</v>
      </c>
      <c r="AO49" s="2">
        <v>95</v>
      </c>
      <c r="AP49" s="17">
        <f t="shared" si="23"/>
        <v>650.68493150684935</v>
      </c>
      <c r="AQ49" s="2">
        <v>117</v>
      </c>
      <c r="AR49" s="2">
        <f t="shared" si="24"/>
        <v>801.36986301369859</v>
      </c>
      <c r="QV49" s="2" t="s">
        <v>1302</v>
      </c>
      <c r="QW49" s="2" t="s">
        <v>1304</v>
      </c>
      <c r="QX49" s="2" t="s">
        <v>1305</v>
      </c>
      <c r="QY49" s="2" t="s">
        <v>1306</v>
      </c>
      <c r="QZ49" s="2" t="s">
        <v>1307</v>
      </c>
      <c r="RA49" s="2" t="s">
        <v>1308</v>
      </c>
      <c r="RB49" s="2" t="s">
        <v>1309</v>
      </c>
      <c r="RC49" s="2" t="s">
        <v>1311</v>
      </c>
      <c r="RD49" s="2" t="s">
        <v>1310</v>
      </c>
      <c r="ATQ49" s="2">
        <v>2019</v>
      </c>
      <c r="ATR49" s="2">
        <v>21.8</v>
      </c>
    </row>
    <row r="50" spans="37:473 1213:1214" x14ac:dyDescent="0.3">
      <c r="AK50" s="2">
        <v>2015</v>
      </c>
      <c r="AL50" s="2">
        <v>136</v>
      </c>
      <c r="AM50" s="2">
        <v>11.45</v>
      </c>
      <c r="AN50" s="2">
        <f t="shared" si="22"/>
        <v>84.191176470588232</v>
      </c>
      <c r="AO50" s="2">
        <v>95</v>
      </c>
      <c r="AP50" s="17">
        <f t="shared" si="23"/>
        <v>698.52941176470586</v>
      </c>
      <c r="AQ50" s="2">
        <v>133</v>
      </c>
      <c r="AR50" s="2">
        <f t="shared" si="24"/>
        <v>977.94117647058829</v>
      </c>
      <c r="QV50" s="2">
        <v>12870</v>
      </c>
      <c r="QW50" s="2">
        <v>50485</v>
      </c>
      <c r="QX50" s="2">
        <v>6.2</v>
      </c>
      <c r="QZ50" s="2">
        <v>11810</v>
      </c>
      <c r="RA50" s="2">
        <v>70695</v>
      </c>
      <c r="RB50" s="2">
        <v>10085</v>
      </c>
      <c r="RC50" s="2">
        <v>45025</v>
      </c>
      <c r="RD50" s="2">
        <v>32067</v>
      </c>
      <c r="RE50" s="2">
        <f>SUM(QV50:RD50)</f>
        <v>233043.20000000001</v>
      </c>
      <c r="ATQ50" s="2">
        <v>2018</v>
      </c>
      <c r="ATR50" s="2">
        <v>21.67</v>
      </c>
    </row>
    <row r="51" spans="37:473 1213:1214" x14ac:dyDescent="0.3">
      <c r="QV51" s="2">
        <f>QV50/$RE$50</f>
        <v>5.5225812209925021E-2</v>
      </c>
      <c r="QW51" s="2">
        <f t="shared" ref="QW51:RD51" si="25">QW50/$RE$50</f>
        <v>0.21663365418943784</v>
      </c>
      <c r="QX51" s="2">
        <f t="shared" si="25"/>
        <v>2.6604509378518662E-5</v>
      </c>
      <c r="QY51" s="2">
        <f t="shared" si="25"/>
        <v>0</v>
      </c>
      <c r="QZ51" s="2">
        <f t="shared" si="25"/>
        <v>5.0677299316178287E-2</v>
      </c>
      <c r="RA51" s="2">
        <f t="shared" si="25"/>
        <v>0.30335577266360914</v>
      </c>
      <c r="RB51" s="2">
        <f t="shared" si="25"/>
        <v>4.3275238239090436E-2</v>
      </c>
      <c r="RC51" s="2">
        <f t="shared" si="25"/>
        <v>0.19320452173674235</v>
      </c>
      <c r="RD51" s="2">
        <f t="shared" si="25"/>
        <v>0.13760109713563837</v>
      </c>
      <c r="ATQ51" s="2">
        <v>2017</v>
      </c>
      <c r="ATR51" s="2">
        <v>21.44</v>
      </c>
    </row>
    <row r="52" spans="37:473 1213:1214" x14ac:dyDescent="0.3">
      <c r="ATQ52" s="2">
        <v>2016</v>
      </c>
      <c r="ATR52" s="2">
        <v>21.2</v>
      </c>
    </row>
    <row r="53" spans="37:473 1213:1214" x14ac:dyDescent="0.3">
      <c r="ATQ53" s="2">
        <v>2015</v>
      </c>
      <c r="ATR53" s="2">
        <v>20.97</v>
      </c>
    </row>
  </sheetData>
  <mergeCells count="33">
    <mergeCell ref="AEP1:AEV1"/>
    <mergeCell ref="AEW1:AFC1"/>
    <mergeCell ref="AFD1:AFI1"/>
    <mergeCell ref="AFJ1:AFM1"/>
    <mergeCell ref="ADV1:ADX1"/>
    <mergeCell ref="ADY1:ADZ1"/>
    <mergeCell ref="AEA1:AEG1"/>
    <mergeCell ref="AEH1:AEK1"/>
    <mergeCell ref="AEL1:AEO1"/>
    <mergeCell ref="ADM1:ADU1"/>
    <mergeCell ref="YA1:YM1"/>
    <mergeCell ref="YN1:YZ1"/>
    <mergeCell ref="ZA1:ZM1"/>
    <mergeCell ref="ZN1:ZZ1"/>
    <mergeCell ref="AAA1:AAM1"/>
    <mergeCell ref="AAN1:AAZ1"/>
    <mergeCell ref="ABA1:ABM1"/>
    <mergeCell ref="ABN1:ABZ1"/>
    <mergeCell ref="ACA1:ACM1"/>
    <mergeCell ref="ACU1:ADC1"/>
    <mergeCell ref="ADD1:ADL1"/>
    <mergeCell ref="XN1:XZ1"/>
    <mergeCell ref="RZ1:SL1"/>
    <mergeCell ref="SM1:SY1"/>
    <mergeCell ref="SZ1:TL1"/>
    <mergeCell ref="TM1:TY1"/>
    <mergeCell ref="TZ1:UL1"/>
    <mergeCell ref="UM1:UY1"/>
    <mergeCell ref="UZ1:VL1"/>
    <mergeCell ref="VM1:VZ1"/>
    <mergeCell ref="WA1:WM1"/>
    <mergeCell ref="WN1:WZ1"/>
    <mergeCell ref="XA1:X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EE275-ED12-4C06-BC1E-740FCA2A71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Padmasiri</dc:creator>
  <cp:lastModifiedBy>Ranjith Padmasiri</cp:lastModifiedBy>
  <dcterms:created xsi:type="dcterms:W3CDTF">2025-11-29T09:32:54Z</dcterms:created>
  <dcterms:modified xsi:type="dcterms:W3CDTF">2025-12-16T04:21:12Z</dcterms:modified>
</cp:coreProperties>
</file>